
<file path=[Content_Types].xml><?xml version="1.0" encoding="utf-8"?>
<Types xmlns="http://schemas.openxmlformats.org/package/2006/content-types">
  <Default Extension="data" ContentType="application/vnd.openxmlformats-officedocument.model+data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pivotCache/pivotCacheDefinition1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customXml/itemProps31.xml" ContentType="application/vnd.openxmlformats-officedocument.customXmlProperties+xml"/>
  <Override PartName="/customXml/itemProps32.xml" ContentType="application/vnd.openxmlformats-officedocument.customXmlProperties+xml"/>
  <Override PartName="/customXml/itemProps33.xml" ContentType="application/vnd.openxmlformats-officedocument.customXmlProperties+xml"/>
  <Override PartName="/customXml/itemProps3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xuliujun1-my.sharepoint.com/personal/97353_office365proplus_co/Documents/Desktop/DATA ANALITIC PRACTICE/EXCEL 20 QUESTIONS/"/>
    </mc:Choice>
  </mc:AlternateContent>
  <xr:revisionPtr revIDLastSave="1011" documentId="8_{9759B4AB-69EF-41AE-AFD1-FF8EA8C9AB78}" xr6:coauthVersionLast="47" xr6:coauthVersionMax="47" xr10:uidLastSave="{7DC79184-8640-4A10-848C-1167EEECD58C}"/>
  <bookViews>
    <workbookView xWindow="-110" yWindow="-110" windowWidth="21820" windowHeight="13900" activeTab="1" xr2:uid="{5797144C-EC80-433B-8B34-BF7BF29645E8}"/>
  </bookViews>
  <sheets>
    <sheet name="Analysis 1" sheetId="1" r:id="rId1"/>
    <sheet name="Dashboard" sheetId="2" r:id="rId2"/>
  </sheets>
  <calcPr calcId="191029"/>
  <pivotCaches>
    <pivotCache cacheId="0" r:id="rId3"/>
    <pivotCache cacheId="1" r:id="rId4"/>
    <pivotCache cacheId="2" r:id="rId5"/>
    <pivotCache cacheId="3" r:id="rId6"/>
    <pivotCache cacheId="4" r:id="rId7"/>
    <pivotCache cacheId="5" r:id="rId8"/>
    <pivotCache cacheId="6" r:id="rId9"/>
    <pivotCache cacheId="7" r:id="rId10"/>
    <pivotCache cacheId="8" r:id="rId11"/>
    <pivotCache cacheId="9" r:id="rId12"/>
    <pivotCache cacheId="10" r:id="rId13"/>
    <pivotCache cacheId="11" r:id="rId1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im_buses_8f36ffc8-03e2-4019-b9da-929022c5a65a" name="Dim_buses" connection="Query - Dim_buses"/>
          <x15:modelTable id="Dim_demographics_2e36843b-4f7f-4d23-b321-99a65f07d54b" name="Dim_demographics" connection="Query - Dim_demographics"/>
          <x15:modelTable id="Dim_routes_86621842-718b-4077-a2c6-1280cfbae9cd" name="Dim_routes" connection="Query - Dim_routes"/>
          <x15:modelTable id="Facttable_ridership_3c7421e4-490a-4035-b8a9-b8137332f893" name="Facttable_ridership" connection="Query - Facttable_ridership"/>
          <x15:modelTable id="Dim_DateTable_941f0f9f-3399-4008-9235-eced70acad54" name="Dim_DateTable" connection="Query - Dim_DateTable"/>
          <x15:modelTable id="Calculations_f4b2eac6-8cce-4ae4-be2d-92ff54483ea3" name="Calculations" connection="Query - Calculations"/>
        </x15:modelTables>
        <x15:modelRelationships>
          <x15:modelRelationship fromTable="Dim_buses" fromColumn="RouteID" toTable="Dim_routes" toColumn="RouteID"/>
          <x15:modelRelationship fromTable="Facttable_ridership" fromColumn="BusID" toTable="Dim_buses" toColumn="BusID"/>
          <x15:modelRelationship fromTable="Facttable_ridership" fromColumn="RiderID" toTable="Dim_demographics" toColumn="RiderID"/>
          <x15:modelRelationship fromTable="Facttable_ridership" fromColumn="Date" toTable="Dim_DateTable" toColumn="Date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Facttable_ridership" columnName="Time" columnId="Time">
                <x16:calculatedTimeColumn columnName="Time (Hour)" columnId="Time (Hour)" contentType="hours" isSelected="1"/>
                <x16:calculatedTimeColumn columnName="Time (Minute)" columnId="Time (Minute)" contentType="minute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H9" i="1" l="1"/>
  <c r="BH8" i="1"/>
  <c r="BB9" i="1"/>
  <c r="BB10" i="1"/>
  <c r="BB8" i="1"/>
  <c r="BB16" i="1"/>
  <c r="BB17" i="1"/>
  <c r="BB15" i="1"/>
  <c r="BA16" i="1"/>
  <c r="BA17" i="1"/>
  <c r="BA15" i="1"/>
  <c r="AZ15" i="1"/>
  <c r="AZ16" i="1"/>
  <c r="AZ17" i="1"/>
  <c r="AZ14" i="1"/>
  <c r="AI8" i="1"/>
  <c r="AI9" i="1"/>
  <c r="AI10" i="1"/>
  <c r="AI11" i="1"/>
  <c r="AI12" i="1"/>
  <c r="AI13" i="1"/>
  <c r="AI14" i="1"/>
  <c r="AI15" i="1"/>
  <c r="AH9" i="1"/>
  <c r="AH10" i="1"/>
  <c r="AH11" i="1"/>
  <c r="AH12" i="1"/>
  <c r="AH13" i="1"/>
  <c r="AH14" i="1"/>
  <c r="AH15" i="1"/>
  <c r="AH8" i="1"/>
  <c r="S19" i="1"/>
  <c r="AK13" i="1" l="1"/>
  <c r="AJ9" i="1"/>
  <c r="AJ12" i="1"/>
  <c r="AK12" i="1" s="1"/>
  <c r="AJ15" i="1"/>
  <c r="AK15" i="1" s="1"/>
  <c r="AJ11" i="1"/>
  <c r="AK11" i="1" s="1"/>
  <c r="AJ14" i="1"/>
  <c r="AK14" i="1" s="1"/>
  <c r="AJ10" i="1"/>
  <c r="AK10" i="1" s="1"/>
  <c r="AJ13" i="1"/>
  <c r="V19" i="1"/>
  <c r="T19" i="1"/>
  <c r="AK9" i="1" l="1"/>
  <c r="AH25" i="1" s="1"/>
  <c r="AH22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E65B8ED-2DB8-4F6F-9B1B-1EFAF0272301}" name="Query - Calculations" description="Connection to the 'Calculations' query in the workbook." type="100" refreshedVersion="8" minRefreshableVersion="5">
    <extLst>
      <ext xmlns:x15="http://schemas.microsoft.com/office/spreadsheetml/2010/11/main" uri="{DE250136-89BD-433C-8126-D09CA5730AF9}">
        <x15:connection id="10e4561a-f406-44f8-bf69-99ff1a241a51"/>
      </ext>
    </extLst>
  </connection>
  <connection id="2" xr16:uid="{1D8A0515-08C3-4DA4-B3FA-B8B1171CD132}" name="Query - Dim_buses" description="Connection to the 'Dim_buses' query in the workbook." type="100" refreshedVersion="8" minRefreshableVersion="5">
    <extLst>
      <ext xmlns:x15="http://schemas.microsoft.com/office/spreadsheetml/2010/11/main" uri="{DE250136-89BD-433C-8126-D09CA5730AF9}">
        <x15:connection id="c49bd1d2-8575-4c9c-8107-c6745cd40dd9">
          <x15:oledbPr connection="Provider=Microsoft.Mashup.OleDb.1;Data Source=$Workbook$;Location=Dim_buses;Extended Properties=&quot;&quot;">
            <x15:dbTables>
              <x15:dbTable name="Dim_buses"/>
            </x15:dbTables>
          </x15:oledbPr>
        </x15:connection>
      </ext>
    </extLst>
  </connection>
  <connection id="3" xr16:uid="{77E95275-1243-42E7-9622-616B39D85F7D}" name="Query - Dim_DateTable" description="Connection to the 'Dim_DateTable' query in the workbook." type="100" refreshedVersion="8" minRefreshableVersion="5">
    <extLst>
      <ext xmlns:x15="http://schemas.microsoft.com/office/spreadsheetml/2010/11/main" uri="{DE250136-89BD-433C-8126-D09CA5730AF9}">
        <x15:connection id="4ecc5b99-4c42-4385-a074-7283ed4e201d"/>
      </ext>
    </extLst>
  </connection>
  <connection id="4" xr16:uid="{11FCC5B0-D76E-438A-A0E1-0F38C259B889}" name="Query - Dim_demographics" description="Connection to the 'Dim_demographics' query in the workbook." type="100" refreshedVersion="8" minRefreshableVersion="5">
    <extLst>
      <ext xmlns:x15="http://schemas.microsoft.com/office/spreadsheetml/2010/11/main" uri="{DE250136-89BD-433C-8126-D09CA5730AF9}">
        <x15:connection id="83ada633-e104-42b2-8883-b6039d9fe264"/>
      </ext>
    </extLst>
  </connection>
  <connection id="5" xr16:uid="{975042AC-1E9D-4350-9ECF-DB66E30BE3D6}" name="Query - Dim_routes" description="Connection to the 'Dim_routes' query in the workbook." type="100" refreshedVersion="8" minRefreshableVersion="5">
    <extLst>
      <ext xmlns:x15="http://schemas.microsoft.com/office/spreadsheetml/2010/11/main" uri="{DE250136-89BD-433C-8126-D09CA5730AF9}">
        <x15:connection id="65a65dbc-4939-43ff-b243-87cad00a2501">
          <x15:oledbPr connection="Provider=Microsoft.Mashup.OleDb.1;Data Source=$Workbook$;Location=Dim_routes;Extended Properties=&quot;&quot;">
            <x15:dbTables>
              <x15:dbTable name="Dim_routes"/>
            </x15:dbTables>
          </x15:oledbPr>
        </x15:connection>
      </ext>
    </extLst>
  </connection>
  <connection id="6" xr16:uid="{2C363343-178D-4C5D-BB61-8599593EA7DE}" name="Query - Facttable_ridership" description="Connection to the 'Facttable_ridership' query in the workbook." type="100" refreshedVersion="8" minRefreshableVersion="5">
    <extLst>
      <ext xmlns:x15="http://schemas.microsoft.com/office/spreadsheetml/2010/11/main" uri="{DE250136-89BD-433C-8126-D09CA5730AF9}">
        <x15:connection id="0da54698-c90c-4a34-992e-94f4d5088db8"/>
      </ext>
    </extLst>
  </connection>
  <connection id="7" xr16:uid="{26C739B2-939C-4512-A295-0F8F30943C9E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<sst xmlns="http://schemas.openxmlformats.org/spreadsheetml/2006/main" count="61" uniqueCount="47">
  <si>
    <t>Total Riders(Passengers)</t>
  </si>
  <si>
    <t>Avg Riders Per Trip</t>
  </si>
  <si>
    <t>RouteName</t>
  </si>
  <si>
    <t>East-West Express</t>
  </si>
  <si>
    <t>South Line</t>
  </si>
  <si>
    <t>Busiest Route</t>
  </si>
  <si>
    <t>Least Busy Route</t>
  </si>
  <si>
    <t>Time Group</t>
  </si>
  <si>
    <t>12:00 PM - 3:00 PM</t>
  </si>
  <si>
    <t>3:00 PM - 6:00 PM</t>
  </si>
  <si>
    <t>6:00 AM - 9:00 AM</t>
  </si>
  <si>
    <t>6:00 PM - 9:00 PM</t>
  </si>
  <si>
    <t>9:00 AM - 12:00 PM</t>
  </si>
  <si>
    <t>9:00 PM - 12:00 AM</t>
  </si>
  <si>
    <t>Peak Hour of Operation</t>
  </si>
  <si>
    <t>Time</t>
  </si>
  <si>
    <t>Off-Peak Hour of Operation</t>
  </si>
  <si>
    <t>Year</t>
  </si>
  <si>
    <t>YOY Pct Change</t>
  </si>
  <si>
    <t>Indicator</t>
  </si>
  <si>
    <t>▼</t>
  </si>
  <si>
    <t>▲</t>
  </si>
  <si>
    <t>Caption:</t>
  </si>
  <si>
    <t>Day Name</t>
  </si>
  <si>
    <t>Fri</t>
  </si>
  <si>
    <t>Mon</t>
  </si>
  <si>
    <t>Sat</t>
  </si>
  <si>
    <t>Sun</t>
  </si>
  <si>
    <t>Thu</t>
  </si>
  <si>
    <t>Tue</t>
  </si>
  <si>
    <t>Wed</t>
  </si>
  <si>
    <t>Average</t>
  </si>
  <si>
    <t>Above Average</t>
  </si>
  <si>
    <t>Above Average Percentage</t>
  </si>
  <si>
    <t>Month Name</t>
  </si>
  <si>
    <t>Dec</t>
  </si>
  <si>
    <t>Jan</t>
  </si>
  <si>
    <t>Bus Utilization Category</t>
  </si>
  <si>
    <t>Over-Utilized</t>
  </si>
  <si>
    <t>Under-Utilized</t>
  </si>
  <si>
    <t>Well-Utilized</t>
  </si>
  <si>
    <t>Total Buses</t>
  </si>
  <si>
    <t>Pct</t>
  </si>
  <si>
    <t>Pct Left</t>
  </si>
  <si>
    <t>Operation Moment</t>
  </si>
  <si>
    <t>AM</t>
  </si>
  <si>
    <t>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</si>
</sst>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pivotButton="1"/>
    <xf numFmtId="3" fontId="0" fillId="0" borderId="0" xfId="0" applyNumberFormat="1"/>
    <xf numFmtId="1" fontId="0" fillId="0" borderId="0" xfId="0" applyNumberFormat="1"/>
    <xf numFmtId="0" fontId="0" fillId="2" borderId="0" xfId="0" applyFill="1"/>
    <xf numFmtId="0" fontId="0" fillId="3" borderId="0" xfId="0" applyFill="1"/>
    <xf numFmtId="21" fontId="0" fillId="0" borderId="0" xfId="0" applyNumberFormat="1"/>
    <xf numFmtId="10" fontId="0" fillId="0" borderId="0" xfId="0" applyNumberFormat="1"/>
    <xf numFmtId="0" fontId="1" fillId="0" borderId="0" xfId="0" applyFont="1"/>
    <xf numFmtId="0" fontId="2" fillId="4" borderId="0" xfId="0" applyFont="1" applyFill="1"/>
    <xf numFmtId="9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595959"/>
      <color rgb="FF2A2A2A"/>
      <color rgb="FF0D0D0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11.xml"/><Relationship Id="rId18" Type="http://schemas.openxmlformats.org/officeDocument/2006/relationships/sharedStrings" Target="sharedStrings.xml"/><Relationship Id="rId26" Type="http://schemas.openxmlformats.org/officeDocument/2006/relationships/customXml" Target="../customXml/item6.xml"/><Relationship Id="rId39" Type="http://schemas.openxmlformats.org/officeDocument/2006/relationships/customXml" Target="../customXml/item19.xml"/><Relationship Id="rId21" Type="http://schemas.openxmlformats.org/officeDocument/2006/relationships/customXml" Target="../customXml/item1.xml"/><Relationship Id="rId34" Type="http://schemas.openxmlformats.org/officeDocument/2006/relationships/customXml" Target="../customXml/item14.xml"/><Relationship Id="rId42" Type="http://schemas.openxmlformats.org/officeDocument/2006/relationships/customXml" Target="../customXml/item22.xml"/><Relationship Id="rId47" Type="http://schemas.openxmlformats.org/officeDocument/2006/relationships/customXml" Target="../customXml/item27.xml"/><Relationship Id="rId50" Type="http://schemas.openxmlformats.org/officeDocument/2006/relationships/customXml" Target="../customXml/item30.xml"/><Relationship Id="rId7" Type="http://schemas.openxmlformats.org/officeDocument/2006/relationships/pivotCacheDefinition" Target="pivotCache/pivotCacheDefinition5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9" Type="http://schemas.openxmlformats.org/officeDocument/2006/relationships/customXml" Target="../customXml/item9.xml"/><Relationship Id="rId11" Type="http://schemas.openxmlformats.org/officeDocument/2006/relationships/pivotCacheDefinition" Target="pivotCache/pivotCacheDefinition9.xml"/><Relationship Id="rId24" Type="http://schemas.openxmlformats.org/officeDocument/2006/relationships/customXml" Target="../customXml/item4.xml"/><Relationship Id="rId32" Type="http://schemas.openxmlformats.org/officeDocument/2006/relationships/customXml" Target="../customXml/item12.xml"/><Relationship Id="rId37" Type="http://schemas.openxmlformats.org/officeDocument/2006/relationships/customXml" Target="../customXml/item17.xml"/><Relationship Id="rId40" Type="http://schemas.openxmlformats.org/officeDocument/2006/relationships/customXml" Target="../customXml/item20.xml"/><Relationship Id="rId45" Type="http://schemas.openxmlformats.org/officeDocument/2006/relationships/customXml" Target="../customXml/item25.xml"/><Relationship Id="rId53" Type="http://schemas.openxmlformats.org/officeDocument/2006/relationships/customXml" Target="../customXml/item33.xml"/><Relationship Id="rId5" Type="http://schemas.openxmlformats.org/officeDocument/2006/relationships/pivotCacheDefinition" Target="pivotCache/pivotCacheDefinition3.xml"/><Relationship Id="rId10" Type="http://schemas.openxmlformats.org/officeDocument/2006/relationships/pivotCacheDefinition" Target="pivotCache/pivotCacheDefinition8.xml"/><Relationship Id="rId19" Type="http://schemas.openxmlformats.org/officeDocument/2006/relationships/powerPivotData" Target="model/item.data"/><Relationship Id="rId31" Type="http://schemas.openxmlformats.org/officeDocument/2006/relationships/customXml" Target="../customXml/item11.xml"/><Relationship Id="rId44" Type="http://schemas.openxmlformats.org/officeDocument/2006/relationships/customXml" Target="../customXml/item24.xml"/><Relationship Id="rId52" Type="http://schemas.openxmlformats.org/officeDocument/2006/relationships/customXml" Target="../customXml/item32.xml"/><Relationship Id="rId4" Type="http://schemas.openxmlformats.org/officeDocument/2006/relationships/pivotCacheDefinition" Target="pivotCache/pivotCacheDefinition2.xml"/><Relationship Id="rId9" Type="http://schemas.openxmlformats.org/officeDocument/2006/relationships/pivotCacheDefinition" Target="pivotCache/pivotCacheDefinition7.xml"/><Relationship Id="rId14" Type="http://schemas.openxmlformats.org/officeDocument/2006/relationships/pivotCacheDefinition" Target="pivotCache/pivotCacheDefinition12.xml"/><Relationship Id="rId22" Type="http://schemas.openxmlformats.org/officeDocument/2006/relationships/customXml" Target="../customXml/item2.xml"/><Relationship Id="rId27" Type="http://schemas.openxmlformats.org/officeDocument/2006/relationships/customXml" Target="../customXml/item7.xml"/><Relationship Id="rId30" Type="http://schemas.openxmlformats.org/officeDocument/2006/relationships/customXml" Target="../customXml/item10.xml"/><Relationship Id="rId35" Type="http://schemas.openxmlformats.org/officeDocument/2006/relationships/customXml" Target="../customXml/item15.xml"/><Relationship Id="rId43" Type="http://schemas.openxmlformats.org/officeDocument/2006/relationships/customXml" Target="../customXml/item23.xml"/><Relationship Id="rId48" Type="http://schemas.openxmlformats.org/officeDocument/2006/relationships/customXml" Target="../customXml/item28.xml"/><Relationship Id="rId8" Type="http://schemas.openxmlformats.org/officeDocument/2006/relationships/pivotCacheDefinition" Target="pivotCache/pivotCacheDefinition6.xml"/><Relationship Id="rId51" Type="http://schemas.openxmlformats.org/officeDocument/2006/relationships/customXml" Target="../customXml/item31.xml"/><Relationship Id="rId3" Type="http://schemas.openxmlformats.org/officeDocument/2006/relationships/pivotCacheDefinition" Target="pivotCache/pivotCacheDefinition1.xml"/><Relationship Id="rId12" Type="http://schemas.openxmlformats.org/officeDocument/2006/relationships/pivotCacheDefinition" Target="pivotCache/pivotCacheDefinition10.xml"/><Relationship Id="rId17" Type="http://schemas.openxmlformats.org/officeDocument/2006/relationships/styles" Target="styles.xml"/><Relationship Id="rId25" Type="http://schemas.openxmlformats.org/officeDocument/2006/relationships/customXml" Target="../customXml/item5.xml"/><Relationship Id="rId33" Type="http://schemas.openxmlformats.org/officeDocument/2006/relationships/customXml" Target="../customXml/item13.xml"/><Relationship Id="rId38" Type="http://schemas.openxmlformats.org/officeDocument/2006/relationships/customXml" Target="../customXml/item18.xml"/><Relationship Id="rId46" Type="http://schemas.openxmlformats.org/officeDocument/2006/relationships/customXml" Target="../customXml/item26.xml"/><Relationship Id="rId20" Type="http://schemas.openxmlformats.org/officeDocument/2006/relationships/calcChain" Target="calcChain.xml"/><Relationship Id="rId41" Type="http://schemas.openxmlformats.org/officeDocument/2006/relationships/customXml" Target="../customXml/item21.xml"/><Relationship Id="rId54" Type="http://schemas.openxmlformats.org/officeDocument/2006/relationships/customXml" Target="../customXml/item34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4.xml"/><Relationship Id="rId15" Type="http://schemas.openxmlformats.org/officeDocument/2006/relationships/theme" Target="theme/theme1.xml"/><Relationship Id="rId23" Type="http://schemas.openxmlformats.org/officeDocument/2006/relationships/customXml" Target="../customXml/item3.xml"/><Relationship Id="rId28" Type="http://schemas.openxmlformats.org/officeDocument/2006/relationships/customXml" Target="../customXml/item8.xml"/><Relationship Id="rId36" Type="http://schemas.openxmlformats.org/officeDocument/2006/relationships/customXml" Target="../customXml/item16.xml"/><Relationship Id="rId49" Type="http://schemas.openxmlformats.org/officeDocument/2006/relationships/customXml" Target="../customXml/item2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20.xlsx]Analysis 1!PivotTable4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5646001012622874"/>
          <c:y val="0.12218823730066235"/>
          <c:w val="0.55865914765088942"/>
          <c:h val="0.8058944256516671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'Analysis 1'!$J$5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'Analysis 1'!$I$6:$I$11</c:f>
              <c:strCache>
                <c:ptCount val="6"/>
                <c:pt idx="0">
                  <c:v>3:00 PM - 6:00 PM</c:v>
                </c:pt>
                <c:pt idx="1">
                  <c:v>6:00 PM - 9:00 PM</c:v>
                </c:pt>
                <c:pt idx="2">
                  <c:v>6:00 AM - 9:00 AM</c:v>
                </c:pt>
                <c:pt idx="3">
                  <c:v>9:00 PM - 12:00 AM</c:v>
                </c:pt>
                <c:pt idx="4">
                  <c:v>12:00 PM - 3:00 PM</c:v>
                </c:pt>
                <c:pt idx="5">
                  <c:v>9:00 AM - 12:00 PM</c:v>
                </c:pt>
              </c:strCache>
            </c:strRef>
          </c:cat>
          <c:val>
            <c:numRef>
              <c:f>'Analysis 1'!$J$6:$J$11</c:f>
              <c:numCache>
                <c:formatCode>#,##0</c:formatCode>
                <c:ptCount val="6"/>
                <c:pt idx="0">
                  <c:v>884</c:v>
                </c:pt>
                <c:pt idx="1">
                  <c:v>968</c:v>
                </c:pt>
                <c:pt idx="2">
                  <c:v>973</c:v>
                </c:pt>
                <c:pt idx="3">
                  <c:v>1147</c:v>
                </c:pt>
                <c:pt idx="4">
                  <c:v>1257</c:v>
                </c:pt>
                <c:pt idx="5">
                  <c:v>1358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5B-40C9-B64C-27B33950EC3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0"/>
        <c:axId val="1676637167"/>
        <c:axId val="1676638655"/>
      </c:barChart>
      <c:catAx>
        <c:axId val="16766371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6638655"/>
        <c:crosses val="autoZero"/>
        <c:auto val="1"/>
        <c:lblAlgn val="ctr"/>
        <c:lblOffset val="100"/>
        <c:noMultiLvlLbl val="0"/>
      </c:catAx>
      <c:valAx>
        <c:axId val="1676638655"/>
        <c:scaling>
          <c:orientation val="minMax"/>
        </c:scaling>
        <c:delete val="1"/>
        <c:axPos val="b"/>
        <c:numFmt formatCode="#,##0" sourceLinked="1"/>
        <c:majorTickMark val="none"/>
        <c:minorTickMark val="none"/>
        <c:tickLblPos val="nextTo"/>
        <c:crossAx val="16766371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20.xlsx]Analysis 1!PivotTable7</c:name>
    <c:fmtId val="7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>
                <a:lumMod val="40000"/>
                <a:lumOff val="6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1110236220472472E-3"/>
          <c:y val="0.18736059778242004"/>
          <c:w val="0.93888888888888888"/>
          <c:h val="0.62775911939578977"/>
        </c:manualLayout>
      </c:layout>
      <c:lineChart>
        <c:grouping val="standard"/>
        <c:varyColors val="0"/>
        <c:ser>
          <c:idx val="0"/>
          <c:order val="0"/>
          <c:tx>
            <c:strRef>
              <c:f>'Analysis 1'!$S$8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'Analysis 1'!$R$9:$R$10</c:f>
              <c:strCache>
                <c:ptCount val="2"/>
                <c:pt idx="0">
                  <c:v>2023</c:v>
                </c:pt>
                <c:pt idx="1">
                  <c:v>2024</c:v>
                </c:pt>
              </c:strCache>
            </c:strRef>
          </c:cat>
          <c:val>
            <c:numRef>
              <c:f>'Analysis 1'!$S$9:$S$10</c:f>
              <c:numCache>
                <c:formatCode>#,##0</c:formatCode>
                <c:ptCount val="2"/>
                <c:pt idx="0">
                  <c:v>5654</c:v>
                </c:pt>
                <c:pt idx="1">
                  <c:v>933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E8-456A-B201-57964316961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2106524992"/>
        <c:axId val="2106519712"/>
      </c:lineChart>
      <c:catAx>
        <c:axId val="2106524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6519712"/>
        <c:crosses val="autoZero"/>
        <c:auto val="1"/>
        <c:lblAlgn val="ctr"/>
        <c:lblOffset val="100"/>
        <c:noMultiLvlLbl val="0"/>
      </c:catAx>
      <c:valAx>
        <c:axId val="2106519712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2106524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00363745292708E-2"/>
          <c:y val="0.18691993397732504"/>
          <c:w val="0.91992720655141036"/>
          <c:h val="0.628133777092296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'Analysis 1'!$AI$8</c:f>
              <c:strCache>
                <c:ptCount val="1"/>
                <c:pt idx="0">
                  <c:v>Total Riders(Passengers)</c:v>
                </c:pt>
              </c:strCache>
            </c:strRef>
          </c:tx>
          <c:spPr>
            <a:solidFill>
              <a:schemeClr val="bg2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'Analysis 1'!$AH$9:$AH$15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'Analysis 1'!$AI$9:$AI$15</c:f>
              <c:numCache>
                <c:formatCode>General</c:formatCode>
                <c:ptCount val="7"/>
                <c:pt idx="0">
                  <c:v>1185</c:v>
                </c:pt>
                <c:pt idx="1">
                  <c:v>1085</c:v>
                </c:pt>
                <c:pt idx="2">
                  <c:v>983</c:v>
                </c:pt>
                <c:pt idx="3">
                  <c:v>887</c:v>
                </c:pt>
                <c:pt idx="4">
                  <c:v>889</c:v>
                </c:pt>
                <c:pt idx="5">
                  <c:v>762</c:v>
                </c:pt>
                <c:pt idx="6">
                  <c:v>796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03-4818-808F-7A7BF09E323F}"/>
            </c:ext>
          </c:extLst>
        </c:ser>
        <c:ser>
          <c:idx val="2"/>
          <c:order val="2"/>
          <c:tx>
            <c:strRef>
              <c:f>'Analysis 1'!$AK$8</c:f>
              <c:strCache>
                <c:ptCount val="1"/>
                <c:pt idx="0">
                  <c:v>Above Average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'Analysis 1'!$AK$9:$AK$15</c:f>
              <c:numCache>
                <c:formatCode>General</c:formatCode>
                <c:ptCount val="7"/>
                <c:pt idx="0">
                  <c:v>1185</c:v>
                </c:pt>
                <c:pt idx="1">
                  <c:v>1085</c:v>
                </c:pt>
                <c:pt idx="2">
                  <c:v>983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603-4818-808F-7A7BF09E32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2"/>
        <c:overlap val="100"/>
        <c:axId val="477818976"/>
        <c:axId val="477819936"/>
      </c:barChart>
      <c:lineChart>
        <c:grouping val="standard"/>
        <c:varyColors val="0"/>
        <c:ser>
          <c:idx val="1"/>
          <c:order val="1"/>
          <c:tx>
            <c:strRef>
              <c:f>'Analysis 1'!$AJ$8</c:f>
              <c:strCache>
                <c:ptCount val="1"/>
                <c:pt idx="0">
                  <c:v>Average</c:v>
                </c:pt>
              </c:strCache>
            </c:strRef>
          </c:tx>
          <c:spPr>
            <a:ln w="15875" cap="rnd">
              <a:solidFill>
                <a:srgbClr val="595959"/>
              </a:solidFill>
              <a:prstDash val="lgDash"/>
              <a:round/>
            </a:ln>
            <a:effectLst/>
          </c:spPr>
          <c:marker>
            <c:symbol val="none"/>
          </c:marker>
          <c:val>
            <c:numRef>
              <c:f>'Analysis 1'!$AJ$9:$AJ$15</c:f>
              <c:numCache>
                <c:formatCode>General</c:formatCode>
                <c:ptCount val="7"/>
                <c:pt idx="0">
                  <c:v>941</c:v>
                </c:pt>
                <c:pt idx="1">
                  <c:v>941</c:v>
                </c:pt>
                <c:pt idx="2">
                  <c:v>941</c:v>
                </c:pt>
                <c:pt idx="3">
                  <c:v>941</c:v>
                </c:pt>
                <c:pt idx="4">
                  <c:v>941</c:v>
                </c:pt>
                <c:pt idx="5">
                  <c:v>941</c:v>
                </c:pt>
                <c:pt idx="6">
                  <c:v>941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603-4818-808F-7A7BF09E32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7818976"/>
        <c:axId val="477819936"/>
      </c:lineChart>
      <c:catAx>
        <c:axId val="477818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7819936"/>
        <c:crosses val="autoZero"/>
        <c:auto val="1"/>
        <c:lblAlgn val="ctr"/>
        <c:lblOffset val="100"/>
        <c:noMultiLvlLbl val="0"/>
      </c:catAx>
      <c:valAx>
        <c:axId val="47781993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77818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20.xlsx]Analysis 1!PivotTable10</c:name>
    <c:fmtId val="15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15875" cap="rnd">
            <a:solidFill>
              <a:schemeClr val="accent1">
                <a:lumMod val="40000"/>
                <a:lumOff val="6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3598386760259246"/>
          <c:y val="0.14479638009049775"/>
          <c:w val="0.80186921209538331"/>
          <c:h val="0.69123739623044855"/>
        </c:manualLayout>
      </c:layout>
      <c:lineChart>
        <c:grouping val="standard"/>
        <c:varyColors val="0"/>
        <c:ser>
          <c:idx val="0"/>
          <c:order val="0"/>
          <c:tx>
            <c:strRef>
              <c:f>'Analysis 1'!$AV$7</c:f>
              <c:strCache>
                <c:ptCount val="1"/>
                <c:pt idx="0">
                  <c:v>Total</c:v>
                </c:pt>
              </c:strCache>
            </c:strRef>
          </c:tx>
          <c:spPr>
            <a:ln w="15875" cap="rnd">
              <a:solidFill>
                <a:schemeClr val="accent1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'Analysis 1'!$AU$8:$AU$9</c:f>
              <c:strCache>
                <c:ptCount val="2"/>
                <c:pt idx="0">
                  <c:v>Jan</c:v>
                </c:pt>
                <c:pt idx="1">
                  <c:v>Dec</c:v>
                </c:pt>
              </c:strCache>
            </c:strRef>
          </c:cat>
          <c:val>
            <c:numRef>
              <c:f>'Analysis 1'!$AV$8:$AV$9</c:f>
              <c:numCache>
                <c:formatCode>#,##0</c:formatCode>
                <c:ptCount val="2"/>
                <c:pt idx="0">
                  <c:v>933</c:v>
                </c:pt>
                <c:pt idx="1">
                  <c:v>5654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35-45B4-BB4F-EEF7FB7C47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43066960"/>
        <c:axId val="643070320"/>
      </c:lineChart>
      <c:catAx>
        <c:axId val="643066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2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2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3070320"/>
        <c:crosses val="autoZero"/>
        <c:auto val="1"/>
        <c:lblAlgn val="ctr"/>
        <c:lblOffset val="100"/>
        <c:noMultiLvlLbl val="0"/>
      </c:catAx>
      <c:valAx>
        <c:axId val="643070320"/>
        <c:scaling>
          <c:orientation val="minMax"/>
        </c:scaling>
        <c:delete val="0"/>
        <c:axPos val="l"/>
        <c:numFmt formatCode="0,\K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3066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9454060145735338"/>
          <c:y val="0.12921342598716004"/>
          <c:w val="0.61091879708529317"/>
          <c:h val="0.74157314802567986"/>
        </c:manualLayout>
      </c:layout>
      <c:doughnutChart>
        <c:varyColors val="1"/>
        <c:ser>
          <c:idx val="0"/>
          <c:order val="0"/>
          <c:tx>
            <c:strRef>
              <c:f>'Analysis 1'!$AZ$15</c:f>
              <c:strCache>
                <c:ptCount val="1"/>
                <c:pt idx="0">
                  <c:v>Over-Utilized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42A-4CB2-A673-971D3E4AD98E}"/>
              </c:ext>
            </c:extLst>
          </c:dPt>
          <c:dPt>
            <c:idx val="1"/>
            <c:bubble3D val="0"/>
            <c:spPr>
              <a:solidFill>
                <a:schemeClr val="tx1">
                  <a:lumMod val="65000"/>
                  <a:lumOff val="3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42A-4CB2-A673-971D3E4AD98E}"/>
              </c:ext>
            </c:extLst>
          </c:dPt>
          <c:val>
            <c:numRef>
              <c:f>'Analysis 1'!$BA$15:$BB$15</c:f>
              <c:numCache>
                <c:formatCode>0%</c:formatCode>
                <c:ptCount val="2"/>
                <c:pt idx="0">
                  <c:v>0.42857142857142855</c:v>
                </c:pt>
                <c:pt idx="1">
                  <c:v>0.5714285714285714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42A-4CB2-A673-971D3E4AD9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9454060145735338"/>
          <c:y val="0.12921342598716004"/>
          <c:w val="0.61091879708529317"/>
          <c:h val="0.74157314802567986"/>
        </c:manualLayout>
      </c:layout>
      <c:doughnutChart>
        <c:varyColors val="1"/>
        <c:ser>
          <c:idx val="0"/>
          <c:order val="0"/>
          <c:tx>
            <c:strRef>
              <c:f>'Analysis 1'!$AZ$16</c:f>
              <c:strCache>
                <c:ptCount val="1"/>
                <c:pt idx="0">
                  <c:v>Under-Utilized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42A-4CB2-A673-971D3E4AD98E}"/>
              </c:ext>
            </c:extLst>
          </c:dPt>
          <c:dPt>
            <c:idx val="1"/>
            <c:bubble3D val="0"/>
            <c:spPr>
              <a:solidFill>
                <a:schemeClr val="tx1">
                  <a:lumMod val="65000"/>
                  <a:lumOff val="3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42A-4CB2-A673-971D3E4AD98E}"/>
              </c:ext>
            </c:extLst>
          </c:dPt>
          <c:val>
            <c:numRef>
              <c:f>'Analysis 1'!$BA$16:$BB$16</c:f>
              <c:numCache>
                <c:formatCode>0%</c:formatCode>
                <c:ptCount val="2"/>
                <c:pt idx="0">
                  <c:v>0.22619047619047619</c:v>
                </c:pt>
                <c:pt idx="1">
                  <c:v>0.77380952380952384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42A-4CB2-A673-971D3E4AD9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0266533579724025"/>
          <c:y val="0.12921345689660813"/>
          <c:w val="0.61091879708529317"/>
          <c:h val="0.74157314802567986"/>
        </c:manualLayout>
      </c:layout>
      <c:doughnutChart>
        <c:varyColors val="1"/>
        <c:ser>
          <c:idx val="0"/>
          <c:order val="0"/>
          <c:tx>
            <c:strRef>
              <c:f>'Analysis 1'!$AZ$17</c:f>
              <c:strCache>
                <c:ptCount val="1"/>
                <c:pt idx="0">
                  <c:v>Well-Utilized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42A-4CB2-A673-971D3E4AD98E}"/>
              </c:ext>
            </c:extLst>
          </c:dPt>
          <c:dPt>
            <c:idx val="1"/>
            <c:bubble3D val="0"/>
            <c:spPr>
              <a:solidFill>
                <a:schemeClr val="tx1">
                  <a:lumMod val="65000"/>
                  <a:lumOff val="3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42A-4CB2-A673-971D3E4AD98E}"/>
              </c:ext>
            </c:extLst>
          </c:dPt>
          <c:val>
            <c:numRef>
              <c:f>'Analysis 1'!$BA$17:$BB$17</c:f>
              <c:numCache>
                <c:formatCode>0%</c:formatCode>
                <c:ptCount val="2"/>
                <c:pt idx="0">
                  <c:v>0.34523809523809523</c:v>
                </c:pt>
                <c:pt idx="1">
                  <c:v>0.65476190476190477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42A-4CB2-A673-971D3E4AD9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.xml"/><Relationship Id="rId3" Type="http://schemas.openxmlformats.org/officeDocument/2006/relationships/image" Target="../media/image2.png"/><Relationship Id="rId7" Type="http://schemas.openxmlformats.org/officeDocument/2006/relationships/chart" Target="../charts/chart3.xml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6" Type="http://schemas.openxmlformats.org/officeDocument/2006/relationships/image" Target="../media/image4.svg"/><Relationship Id="rId11" Type="http://schemas.openxmlformats.org/officeDocument/2006/relationships/chart" Target="../charts/chart7.xml"/><Relationship Id="rId5" Type="http://schemas.openxmlformats.org/officeDocument/2006/relationships/image" Target="../media/image3.png"/><Relationship Id="rId10" Type="http://schemas.openxmlformats.org/officeDocument/2006/relationships/chart" Target="../charts/chart6.xml"/><Relationship Id="rId4" Type="http://schemas.openxmlformats.org/officeDocument/2006/relationships/chart" Target="../charts/chart2.xml"/><Relationship Id="rId9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63500</xdr:colOff>
      <xdr:row>0</xdr:row>
      <xdr:rowOff>12700</xdr:rowOff>
    </xdr:from>
    <xdr:to>
      <xdr:col>13</xdr:col>
      <xdr:colOff>419100</xdr:colOff>
      <xdr:row>33</xdr:row>
      <xdr:rowOff>44450</xdr:rowOff>
    </xdr:to>
    <xdr:sp macro="" textlink="">
      <xdr:nvSpPr>
        <xdr:cNvPr id="7" name="Arrow: Pentagon 6">
          <a:extLst>
            <a:ext uri="{FF2B5EF4-FFF2-40B4-BE49-F238E27FC236}">
              <a16:creationId xmlns:a16="http://schemas.microsoft.com/office/drawing/2014/main" id="{B32EA79F-07C9-D70D-F698-CD92DCE62C72}"/>
            </a:ext>
          </a:extLst>
        </xdr:cNvPr>
        <xdr:cNvSpPr/>
      </xdr:nvSpPr>
      <xdr:spPr>
        <a:xfrm flipH="1">
          <a:off x="1892300" y="12700"/>
          <a:ext cx="6451600" cy="6108700"/>
        </a:xfrm>
        <a:prstGeom prst="homePlate">
          <a:avLst>
            <a:gd name="adj" fmla="val 32353"/>
          </a:avLst>
        </a:prstGeom>
        <a:gradFill flip="none" rotWithShape="1">
          <a:gsLst>
            <a:gs pos="0">
              <a:schemeClr val="tx1"/>
            </a:gs>
            <a:gs pos="64000">
              <a:srgbClr val="2A2A2A"/>
            </a:gs>
            <a:gs pos="33000">
              <a:srgbClr val="595959"/>
            </a:gs>
            <a:gs pos="93000">
              <a:srgbClr val="0D0D0D"/>
            </a:gs>
          </a:gsLst>
          <a:lin ang="0" scaled="0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44450</xdr:colOff>
      <xdr:row>0</xdr:row>
      <xdr:rowOff>0</xdr:rowOff>
    </xdr:from>
    <xdr:to>
      <xdr:col>15</xdr:col>
      <xdr:colOff>400050</xdr:colOff>
      <xdr:row>33</xdr:row>
      <xdr:rowOff>12700</xdr:rowOff>
    </xdr:to>
    <xdr:sp macro="" textlink="">
      <xdr:nvSpPr>
        <xdr:cNvPr id="6" name="Arrow: Pentagon 5">
          <a:extLst>
            <a:ext uri="{FF2B5EF4-FFF2-40B4-BE49-F238E27FC236}">
              <a16:creationId xmlns:a16="http://schemas.microsoft.com/office/drawing/2014/main" id="{9114F5C7-A7D7-3486-6300-9910F3A0312C}"/>
            </a:ext>
          </a:extLst>
        </xdr:cNvPr>
        <xdr:cNvSpPr/>
      </xdr:nvSpPr>
      <xdr:spPr>
        <a:xfrm flipH="1">
          <a:off x="3092450" y="0"/>
          <a:ext cx="6451600" cy="6089650"/>
        </a:xfrm>
        <a:prstGeom prst="homePlate">
          <a:avLst>
            <a:gd name="adj" fmla="val 32353"/>
          </a:avLst>
        </a:prstGeom>
        <a:gradFill flip="none" rotWithShape="1">
          <a:gsLst>
            <a:gs pos="0">
              <a:schemeClr val="tx1"/>
            </a:gs>
            <a:gs pos="63000">
              <a:srgbClr val="2A2A2A"/>
            </a:gs>
            <a:gs pos="38000">
              <a:srgbClr val="595959"/>
            </a:gs>
            <a:gs pos="93000">
              <a:srgbClr val="0D0D0D"/>
            </a:gs>
          </a:gsLst>
          <a:lin ang="0" scaled="0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565150</xdr:colOff>
      <xdr:row>0</xdr:row>
      <xdr:rowOff>12700</xdr:rowOff>
    </xdr:from>
    <xdr:to>
      <xdr:col>17</xdr:col>
      <xdr:colOff>311150</xdr:colOff>
      <xdr:row>33</xdr:row>
      <xdr:rowOff>31750</xdr:rowOff>
    </xdr:to>
    <xdr:sp macro="" textlink="">
      <xdr:nvSpPr>
        <xdr:cNvPr id="5" name="Arrow: Pentagon 4">
          <a:extLst>
            <a:ext uri="{FF2B5EF4-FFF2-40B4-BE49-F238E27FC236}">
              <a16:creationId xmlns:a16="http://schemas.microsoft.com/office/drawing/2014/main" id="{8E1FC480-1137-C67E-7E38-267194A72BD0}"/>
            </a:ext>
          </a:extLst>
        </xdr:cNvPr>
        <xdr:cNvSpPr/>
      </xdr:nvSpPr>
      <xdr:spPr>
        <a:xfrm flipH="1">
          <a:off x="4222750" y="12700"/>
          <a:ext cx="6451600" cy="6096000"/>
        </a:xfrm>
        <a:prstGeom prst="homePlate">
          <a:avLst>
            <a:gd name="adj" fmla="val 32353"/>
          </a:avLst>
        </a:prstGeom>
        <a:gradFill flip="none" rotWithShape="1">
          <a:gsLst>
            <a:gs pos="0">
              <a:schemeClr val="tx1"/>
            </a:gs>
            <a:gs pos="58000">
              <a:srgbClr val="2A2A2A"/>
            </a:gs>
            <a:gs pos="50000">
              <a:srgbClr val="595959"/>
            </a:gs>
            <a:gs pos="93000">
              <a:srgbClr val="0D0D0D"/>
            </a:gs>
          </a:gsLst>
          <a:lin ang="0" scaled="0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330200</xdr:colOff>
      <xdr:row>0</xdr:row>
      <xdr:rowOff>12700</xdr:rowOff>
    </xdr:from>
    <xdr:to>
      <xdr:col>19</xdr:col>
      <xdr:colOff>76200</xdr:colOff>
      <xdr:row>33</xdr:row>
      <xdr:rowOff>31750</xdr:rowOff>
    </xdr:to>
    <xdr:sp macro="" textlink="">
      <xdr:nvSpPr>
        <xdr:cNvPr id="4" name="Arrow: Pentagon 3">
          <a:extLst>
            <a:ext uri="{FF2B5EF4-FFF2-40B4-BE49-F238E27FC236}">
              <a16:creationId xmlns:a16="http://schemas.microsoft.com/office/drawing/2014/main" id="{66DA30F9-E0BE-5584-D553-39911D562B06}"/>
            </a:ext>
          </a:extLst>
        </xdr:cNvPr>
        <xdr:cNvSpPr/>
      </xdr:nvSpPr>
      <xdr:spPr>
        <a:xfrm flipH="1">
          <a:off x="5207000" y="12700"/>
          <a:ext cx="6451600" cy="6096000"/>
        </a:xfrm>
        <a:prstGeom prst="homePlate">
          <a:avLst>
            <a:gd name="adj" fmla="val 32353"/>
          </a:avLst>
        </a:prstGeom>
        <a:gradFill flip="none" rotWithShape="1">
          <a:gsLst>
            <a:gs pos="0">
              <a:schemeClr val="tx1"/>
            </a:gs>
            <a:gs pos="41000">
              <a:srgbClr val="2A2A2A"/>
            </a:gs>
            <a:gs pos="41000">
              <a:srgbClr val="595959"/>
            </a:gs>
            <a:gs pos="93000">
              <a:srgbClr val="0D0D0D"/>
            </a:gs>
          </a:gsLst>
          <a:lin ang="0" scaled="0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38100</xdr:colOff>
      <xdr:row>0</xdr:row>
      <xdr:rowOff>6350</xdr:rowOff>
    </xdr:from>
    <xdr:to>
      <xdr:col>19</xdr:col>
      <xdr:colOff>444500</xdr:colOff>
      <xdr:row>33</xdr:row>
      <xdr:rowOff>38100</xdr:rowOff>
    </xdr:to>
    <xdr:sp macro="" textlink="">
      <xdr:nvSpPr>
        <xdr:cNvPr id="3" name="Arrow: Pentagon 2">
          <a:extLst>
            <a:ext uri="{FF2B5EF4-FFF2-40B4-BE49-F238E27FC236}">
              <a16:creationId xmlns:a16="http://schemas.microsoft.com/office/drawing/2014/main" id="{67417E39-6CA2-BB4F-9FF5-A5568D129461}"/>
            </a:ext>
          </a:extLst>
        </xdr:cNvPr>
        <xdr:cNvSpPr/>
      </xdr:nvSpPr>
      <xdr:spPr>
        <a:xfrm flipH="1">
          <a:off x="6134100" y="6350"/>
          <a:ext cx="5892800" cy="6108700"/>
        </a:xfrm>
        <a:prstGeom prst="homePlate">
          <a:avLst>
            <a:gd name="adj" fmla="val 32353"/>
          </a:avLst>
        </a:prstGeom>
        <a:gradFill flip="none" rotWithShape="1">
          <a:gsLst>
            <a:gs pos="0">
              <a:schemeClr val="tx1"/>
            </a:gs>
            <a:gs pos="52000">
              <a:srgbClr val="595959"/>
            </a:gs>
            <a:gs pos="28000">
              <a:srgbClr val="2A2A2A"/>
            </a:gs>
            <a:gs pos="83000">
              <a:srgbClr val="0D0D0D"/>
            </a:gs>
          </a:gsLst>
          <a:lin ang="0" scaled="0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374650</xdr:colOff>
      <xdr:row>0</xdr:row>
      <xdr:rowOff>0</xdr:rowOff>
    </xdr:from>
    <xdr:to>
      <xdr:col>19</xdr:col>
      <xdr:colOff>539750</xdr:colOff>
      <xdr:row>33</xdr:row>
      <xdr:rowOff>31750</xdr:rowOff>
    </xdr:to>
    <xdr:sp macro="" textlink="">
      <xdr:nvSpPr>
        <xdr:cNvPr id="2" name="Arrow: Pentagon 1">
          <a:extLst>
            <a:ext uri="{FF2B5EF4-FFF2-40B4-BE49-F238E27FC236}">
              <a16:creationId xmlns:a16="http://schemas.microsoft.com/office/drawing/2014/main" id="{481C9D57-891D-1682-EFE0-0AA3566E7B57}"/>
            </a:ext>
          </a:extLst>
        </xdr:cNvPr>
        <xdr:cNvSpPr/>
      </xdr:nvSpPr>
      <xdr:spPr>
        <a:xfrm flipH="1">
          <a:off x="7080250" y="0"/>
          <a:ext cx="5041900" cy="6108700"/>
        </a:xfrm>
        <a:prstGeom prst="homePlate">
          <a:avLst>
            <a:gd name="adj" fmla="val 32353"/>
          </a:avLst>
        </a:prstGeom>
        <a:gradFill flip="none" rotWithShape="1">
          <a:gsLst>
            <a:gs pos="0">
              <a:schemeClr val="tx1"/>
            </a:gs>
            <a:gs pos="39000">
              <a:srgbClr val="2A2A2A"/>
            </a:gs>
            <a:gs pos="71000">
              <a:srgbClr val="595959"/>
            </a:gs>
            <a:gs pos="93000">
              <a:srgbClr val="0D0D0D"/>
            </a:gs>
          </a:gsLst>
          <a:lin ang="0" scaled="0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133350</xdr:colOff>
      <xdr:row>2</xdr:row>
      <xdr:rowOff>57150</xdr:rowOff>
    </xdr:from>
    <xdr:to>
      <xdr:col>0</xdr:col>
      <xdr:colOff>571500</xdr:colOff>
      <xdr:row>32</xdr:row>
      <xdr:rowOff>57150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4ABC6987-9DC4-83DE-C6CB-A0214BF6DF98}"/>
            </a:ext>
          </a:extLst>
        </xdr:cNvPr>
        <xdr:cNvGrpSpPr/>
      </xdr:nvGrpSpPr>
      <xdr:grpSpPr>
        <a:xfrm>
          <a:off x="133350" y="426605"/>
          <a:ext cx="438150" cy="5541818"/>
          <a:chOff x="114300" y="158750"/>
          <a:chExt cx="438150" cy="5524500"/>
        </a:xfrm>
      </xdr:grpSpPr>
      <xdr:sp macro="" textlink="">
        <xdr:nvSpPr>
          <xdr:cNvPr id="10" name="Rectangle: Rounded Corners 9">
            <a:extLst>
              <a:ext uri="{FF2B5EF4-FFF2-40B4-BE49-F238E27FC236}">
                <a16:creationId xmlns:a16="http://schemas.microsoft.com/office/drawing/2014/main" id="{045347E1-354E-F7F5-FEB1-342198D75462}"/>
              </a:ext>
            </a:extLst>
          </xdr:cNvPr>
          <xdr:cNvSpPr/>
        </xdr:nvSpPr>
        <xdr:spPr>
          <a:xfrm>
            <a:off x="152400" y="165100"/>
            <a:ext cx="400050" cy="5518150"/>
          </a:xfrm>
          <a:prstGeom prst="roundRect">
            <a:avLst>
              <a:gd name="adj" fmla="val 23278"/>
            </a:avLst>
          </a:prstGeom>
          <a:solidFill>
            <a:schemeClr val="tx1">
              <a:lumMod val="50000"/>
              <a:lumOff val="5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sp macro="" textlink="">
        <xdr:nvSpPr>
          <xdr:cNvPr id="9" name="Rectangle: Rounded Corners 8">
            <a:extLst>
              <a:ext uri="{FF2B5EF4-FFF2-40B4-BE49-F238E27FC236}">
                <a16:creationId xmlns:a16="http://schemas.microsoft.com/office/drawing/2014/main" id="{F548E5DF-8B4F-B99C-DF16-75BC902A86B3}"/>
              </a:ext>
            </a:extLst>
          </xdr:cNvPr>
          <xdr:cNvSpPr/>
        </xdr:nvSpPr>
        <xdr:spPr>
          <a:xfrm>
            <a:off x="114300" y="158750"/>
            <a:ext cx="400050" cy="5518150"/>
          </a:xfrm>
          <a:prstGeom prst="roundRect">
            <a:avLst>
              <a:gd name="adj" fmla="val 23278"/>
            </a:avLst>
          </a:prstGeom>
          <a:solidFill>
            <a:schemeClr val="tx1">
              <a:lumMod val="65000"/>
              <a:lumOff val="3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</xdr:grpSp>
    <xdr:clientData/>
  </xdr:twoCellAnchor>
  <xdr:twoCellAnchor>
    <xdr:from>
      <xdr:col>1</xdr:col>
      <xdr:colOff>120650</xdr:colOff>
      <xdr:row>4</xdr:row>
      <xdr:rowOff>171450</xdr:rowOff>
    </xdr:from>
    <xdr:to>
      <xdr:col>13</xdr:col>
      <xdr:colOff>31750</xdr:colOff>
      <xdr:row>9</xdr:row>
      <xdr:rowOff>19050</xdr:rowOff>
    </xdr:to>
    <xdr:grpSp>
      <xdr:nvGrpSpPr>
        <xdr:cNvPr id="38" name="Group 37">
          <a:extLst>
            <a:ext uri="{FF2B5EF4-FFF2-40B4-BE49-F238E27FC236}">
              <a16:creationId xmlns:a16="http://schemas.microsoft.com/office/drawing/2014/main" id="{128C7D7B-7BF4-F78A-DDE1-55F09F42B629}"/>
            </a:ext>
          </a:extLst>
        </xdr:cNvPr>
        <xdr:cNvGrpSpPr/>
      </xdr:nvGrpSpPr>
      <xdr:grpSpPr>
        <a:xfrm>
          <a:off x="732559" y="910359"/>
          <a:ext cx="7254009" cy="771236"/>
          <a:chOff x="685800" y="342900"/>
          <a:chExt cx="7226300" cy="768350"/>
        </a:xfrm>
      </xdr:grpSpPr>
      <xdr:sp macro="" textlink="">
        <xdr:nvSpPr>
          <xdr:cNvPr id="8" name="Rectangle: Rounded Corners 7">
            <a:extLst>
              <a:ext uri="{FF2B5EF4-FFF2-40B4-BE49-F238E27FC236}">
                <a16:creationId xmlns:a16="http://schemas.microsoft.com/office/drawing/2014/main" id="{4BEA0A0A-D00E-D680-7D7A-5F2A474C122D}"/>
              </a:ext>
            </a:extLst>
          </xdr:cNvPr>
          <xdr:cNvSpPr/>
        </xdr:nvSpPr>
        <xdr:spPr>
          <a:xfrm>
            <a:off x="730250" y="342900"/>
            <a:ext cx="7181850" cy="768350"/>
          </a:xfrm>
          <a:prstGeom prst="roundRect">
            <a:avLst>
              <a:gd name="adj" fmla="val 16667"/>
            </a:avLst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9183232C-7D96-9305-908F-99EB28D20C49}"/>
              </a:ext>
            </a:extLst>
          </xdr:cNvPr>
          <xdr:cNvSpPr txBox="1"/>
        </xdr:nvSpPr>
        <xdr:spPr>
          <a:xfrm>
            <a:off x="685800" y="355600"/>
            <a:ext cx="1651000" cy="3175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IN" sz="1100" b="0">
                <a:solidFill>
                  <a:schemeClr val="bg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Total Passengers</a:t>
            </a: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E22F00B4-19C9-66B5-CDC6-9618B7C01DA2}"/>
              </a:ext>
            </a:extLst>
          </xdr:cNvPr>
          <xdr:cNvSpPr txBox="1"/>
        </xdr:nvSpPr>
        <xdr:spPr>
          <a:xfrm>
            <a:off x="2482850" y="355600"/>
            <a:ext cx="1758950" cy="3175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IN" sz="1050" b="0">
                <a:solidFill>
                  <a:schemeClr val="bg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Avg.</a:t>
            </a:r>
            <a:r>
              <a:rPr lang="en-IN" sz="1050" b="0" baseline="0">
                <a:solidFill>
                  <a:schemeClr val="bg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Rider </a:t>
            </a:r>
            <a:r>
              <a:rPr lang="en-IN" sz="1100" b="0">
                <a:solidFill>
                  <a:schemeClr val="bg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Per</a:t>
            </a:r>
            <a:r>
              <a:rPr lang="en-IN" sz="1100" b="0" baseline="0">
                <a:solidFill>
                  <a:schemeClr val="bg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Trip</a:t>
            </a:r>
            <a:endParaRPr lang="en-IN" sz="105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FF7B2A76-6E74-44A9-5799-4C7E1F53A4C3}"/>
              </a:ext>
            </a:extLst>
          </xdr:cNvPr>
          <xdr:cNvSpPr txBox="1"/>
        </xdr:nvSpPr>
        <xdr:spPr>
          <a:xfrm>
            <a:off x="4387850" y="355600"/>
            <a:ext cx="1651000" cy="3175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IN" sz="1100" b="0">
                <a:solidFill>
                  <a:schemeClr val="bg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Buseiest</a:t>
            </a:r>
            <a:r>
              <a:rPr lang="en-IN" sz="1100" b="0" baseline="0">
                <a:solidFill>
                  <a:schemeClr val="bg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Route</a:t>
            </a:r>
            <a:endParaRPr lang="en-IN" sz="11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4290DCCC-460E-E336-F3AF-87C54AC9A6D0}"/>
              </a:ext>
            </a:extLst>
          </xdr:cNvPr>
          <xdr:cNvSpPr txBox="1"/>
        </xdr:nvSpPr>
        <xdr:spPr>
          <a:xfrm>
            <a:off x="6184900" y="355600"/>
            <a:ext cx="1651000" cy="3175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IN" sz="1100" b="0">
                <a:solidFill>
                  <a:schemeClr val="bg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Least</a:t>
            </a:r>
            <a:r>
              <a:rPr lang="en-IN" sz="1100" b="0" baseline="0">
                <a:solidFill>
                  <a:schemeClr val="bg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Busy Route</a:t>
            </a:r>
            <a:endParaRPr lang="en-IN" sz="11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'Analysis 1'!$D$6">
        <xdr:nvSpPr>
          <xdr:cNvPr id="28" name="TextBox 27">
            <a:extLst>
              <a:ext uri="{FF2B5EF4-FFF2-40B4-BE49-F238E27FC236}">
                <a16:creationId xmlns:a16="http://schemas.microsoft.com/office/drawing/2014/main" id="{44827CDD-CCC6-813D-BC41-2AA5EE136111}"/>
              </a:ext>
            </a:extLst>
          </xdr:cNvPr>
          <xdr:cNvSpPr txBox="1"/>
        </xdr:nvSpPr>
        <xdr:spPr>
          <a:xfrm>
            <a:off x="698500" y="730250"/>
            <a:ext cx="1651000" cy="3175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681D0203-2739-4D81-8BEF-644225F0B394}" type="TxLink">
              <a:rPr lang="en-US" sz="2400" b="0" i="0" u="none" strike="noStrike">
                <a:solidFill>
                  <a:schemeClr val="bg1"/>
                </a:solidFill>
                <a:latin typeface="Aptos Narrow"/>
                <a:cs typeface="Arial" panose="020B0604020202020204" pitchFamily="34" charset="0"/>
              </a:rPr>
              <a:pPr algn="ctr"/>
              <a:t>6,587</a:t>
            </a:fld>
            <a:endParaRPr lang="en-IN" sz="24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'Analysis 1'!$E$6">
        <xdr:nvSpPr>
          <xdr:cNvPr id="29" name="TextBox 28">
            <a:extLst>
              <a:ext uri="{FF2B5EF4-FFF2-40B4-BE49-F238E27FC236}">
                <a16:creationId xmlns:a16="http://schemas.microsoft.com/office/drawing/2014/main" id="{96FC0D95-A30A-19B9-C002-E56030A594C0}"/>
              </a:ext>
            </a:extLst>
          </xdr:cNvPr>
          <xdr:cNvSpPr txBox="1"/>
        </xdr:nvSpPr>
        <xdr:spPr>
          <a:xfrm>
            <a:off x="2495550" y="730250"/>
            <a:ext cx="1758950" cy="3175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11034335-F4FB-4318-855D-B30E628481ED}" type="TxLink">
              <a:rPr lang="en-US" sz="1600" b="0" i="0" u="none" strike="noStrike">
                <a:solidFill>
                  <a:schemeClr val="bg1"/>
                </a:solidFill>
                <a:latin typeface="Aptos Narrow"/>
                <a:cs typeface="Arial" panose="020B0604020202020204" pitchFamily="34" charset="0"/>
              </a:rPr>
              <a:pPr algn="ctr"/>
              <a:t>33</a:t>
            </a:fld>
            <a:endParaRPr lang="en-IN" sz="14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'Analysis 1'!$D$14">
        <xdr:nvSpPr>
          <xdr:cNvPr id="30" name="TextBox 29">
            <a:extLst>
              <a:ext uri="{FF2B5EF4-FFF2-40B4-BE49-F238E27FC236}">
                <a16:creationId xmlns:a16="http://schemas.microsoft.com/office/drawing/2014/main" id="{874F65CE-B13E-DF7E-FD3F-1056E34509B9}"/>
              </a:ext>
            </a:extLst>
          </xdr:cNvPr>
          <xdr:cNvSpPr txBox="1"/>
        </xdr:nvSpPr>
        <xdr:spPr>
          <a:xfrm>
            <a:off x="4400550" y="730250"/>
            <a:ext cx="1651000" cy="3175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D7CAD26C-3BEE-4328-8106-CB5EECA844C7}" type="TxLink">
              <a:rPr lang="en-US" sz="1400" b="0" i="0" u="none" strike="noStrike">
                <a:solidFill>
                  <a:schemeClr val="bg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pPr algn="ctr"/>
              <a:t>East-West Express</a:t>
            </a:fld>
            <a:endParaRPr lang="en-IN" sz="2000" b="0">
              <a:solidFill>
                <a:schemeClr val="bg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endParaRPr>
          </a:p>
        </xdr:txBody>
      </xdr:sp>
      <xdr:sp macro="" textlink="'Analysis 1'!D20">
        <xdr:nvSpPr>
          <xdr:cNvPr id="31" name="TextBox 30">
            <a:extLst>
              <a:ext uri="{FF2B5EF4-FFF2-40B4-BE49-F238E27FC236}">
                <a16:creationId xmlns:a16="http://schemas.microsoft.com/office/drawing/2014/main" id="{3BD99BF3-E65B-94EF-87AB-E53FDC4DFB30}"/>
              </a:ext>
            </a:extLst>
          </xdr:cNvPr>
          <xdr:cNvSpPr txBox="1"/>
        </xdr:nvSpPr>
        <xdr:spPr>
          <a:xfrm>
            <a:off x="6197600" y="730250"/>
            <a:ext cx="1651000" cy="3175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ctr"/>
            <a:fld id="{2ED5D284-CF6C-4E7B-AE91-9E3A6F238CE0}" type="TxLink">
              <a:rPr lang="en-US" sz="1400" b="0" i="0" u="none" strike="noStrike">
                <a:solidFill>
                  <a:schemeClr val="bg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pPr marL="0" indent="0" algn="ctr"/>
              <a:t>South Line</a:t>
            </a:fld>
            <a:endParaRPr lang="en-IN" sz="1400" b="0" i="0" u="none" strike="noStrike">
              <a:solidFill>
                <a:schemeClr val="bg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endParaRPr>
          </a:p>
        </xdr:txBody>
      </xdr:sp>
      <xdr:sp macro="" textlink="">
        <xdr:nvSpPr>
          <xdr:cNvPr id="32" name="Rectangle 31">
            <a:extLst>
              <a:ext uri="{FF2B5EF4-FFF2-40B4-BE49-F238E27FC236}">
                <a16:creationId xmlns:a16="http://schemas.microsoft.com/office/drawing/2014/main" id="{5307388D-B33F-E9CD-AC59-E738EC6CC10E}"/>
              </a:ext>
            </a:extLst>
          </xdr:cNvPr>
          <xdr:cNvSpPr/>
        </xdr:nvSpPr>
        <xdr:spPr>
          <a:xfrm>
            <a:off x="850900" y="660400"/>
            <a:ext cx="6965950" cy="45719"/>
          </a:xfrm>
          <a:prstGeom prst="rect">
            <a:avLst/>
          </a:prstGeom>
          <a:gradFill>
            <a:gsLst>
              <a:gs pos="0">
                <a:schemeClr val="tx1"/>
              </a:gs>
              <a:gs pos="64000">
                <a:srgbClr val="2A2A2A"/>
              </a:gs>
              <a:gs pos="33000">
                <a:srgbClr val="595959"/>
              </a:gs>
              <a:gs pos="93000">
                <a:srgbClr val="0D0D0D"/>
              </a:gs>
            </a:gsLst>
            <a:lin ang="0" scaled="0"/>
          </a:gra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sp macro="" textlink="">
        <xdr:nvSpPr>
          <xdr:cNvPr id="33" name="Flowchart: Connector 32">
            <a:extLst>
              <a:ext uri="{FF2B5EF4-FFF2-40B4-BE49-F238E27FC236}">
                <a16:creationId xmlns:a16="http://schemas.microsoft.com/office/drawing/2014/main" id="{3360CC72-81DE-164A-444D-FEBD161ED7D6}"/>
              </a:ext>
            </a:extLst>
          </xdr:cNvPr>
          <xdr:cNvSpPr/>
        </xdr:nvSpPr>
        <xdr:spPr>
          <a:xfrm>
            <a:off x="3321050" y="628650"/>
            <a:ext cx="120650" cy="114300"/>
          </a:xfrm>
          <a:prstGeom prst="flowChartConnector">
            <a:avLst/>
          </a:prstGeom>
          <a:solidFill>
            <a:schemeClr val="tx1">
              <a:lumMod val="65000"/>
              <a:lumOff val="3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sp macro="" textlink="">
        <xdr:nvSpPr>
          <xdr:cNvPr id="34" name="Flowchart: Connector 33">
            <a:extLst>
              <a:ext uri="{FF2B5EF4-FFF2-40B4-BE49-F238E27FC236}">
                <a16:creationId xmlns:a16="http://schemas.microsoft.com/office/drawing/2014/main" id="{4E35F029-298D-097C-ACC2-1B39FC85D914}"/>
              </a:ext>
            </a:extLst>
          </xdr:cNvPr>
          <xdr:cNvSpPr/>
        </xdr:nvSpPr>
        <xdr:spPr>
          <a:xfrm>
            <a:off x="5099050" y="628650"/>
            <a:ext cx="120650" cy="114300"/>
          </a:xfrm>
          <a:prstGeom prst="flowChartConnector">
            <a:avLst/>
          </a:prstGeom>
          <a:solidFill>
            <a:schemeClr val="tx1">
              <a:lumMod val="65000"/>
              <a:lumOff val="3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sp macro="" textlink="">
        <xdr:nvSpPr>
          <xdr:cNvPr id="35" name="Flowchart: Connector 34">
            <a:extLst>
              <a:ext uri="{FF2B5EF4-FFF2-40B4-BE49-F238E27FC236}">
                <a16:creationId xmlns:a16="http://schemas.microsoft.com/office/drawing/2014/main" id="{1662016A-BC85-45E3-8467-0E8B091E5B24}"/>
              </a:ext>
            </a:extLst>
          </xdr:cNvPr>
          <xdr:cNvSpPr/>
        </xdr:nvSpPr>
        <xdr:spPr>
          <a:xfrm>
            <a:off x="6908800" y="628650"/>
            <a:ext cx="120650" cy="114300"/>
          </a:xfrm>
          <a:prstGeom prst="flowChartConnector">
            <a:avLst/>
          </a:prstGeom>
          <a:solidFill>
            <a:schemeClr val="tx1">
              <a:lumMod val="65000"/>
              <a:lumOff val="3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sp macro="" textlink="">
        <xdr:nvSpPr>
          <xdr:cNvPr id="36" name="Flowchart: Connector 35">
            <a:extLst>
              <a:ext uri="{FF2B5EF4-FFF2-40B4-BE49-F238E27FC236}">
                <a16:creationId xmlns:a16="http://schemas.microsoft.com/office/drawing/2014/main" id="{579D94A7-7882-CADE-DEA8-A411019D798E}"/>
              </a:ext>
            </a:extLst>
          </xdr:cNvPr>
          <xdr:cNvSpPr/>
        </xdr:nvSpPr>
        <xdr:spPr>
          <a:xfrm>
            <a:off x="1485900" y="622300"/>
            <a:ext cx="120650" cy="114300"/>
          </a:xfrm>
          <a:prstGeom prst="flowChartConnector">
            <a:avLst/>
          </a:prstGeom>
          <a:solidFill>
            <a:schemeClr val="tx1">
              <a:lumMod val="65000"/>
              <a:lumOff val="3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</xdr:grpSp>
    <xdr:clientData/>
  </xdr:twoCellAnchor>
  <xdr:twoCellAnchor>
    <xdr:from>
      <xdr:col>0</xdr:col>
      <xdr:colOff>342900</xdr:colOff>
      <xdr:row>1</xdr:row>
      <xdr:rowOff>177800</xdr:rowOff>
    </xdr:from>
    <xdr:to>
      <xdr:col>7</xdr:col>
      <xdr:colOff>171450</xdr:colOff>
      <xdr:row>4</xdr:row>
      <xdr:rowOff>63500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4B4C06BD-D6A8-D729-64FE-E586E83EB757}"/>
            </a:ext>
          </a:extLst>
        </xdr:cNvPr>
        <xdr:cNvSpPr txBox="1"/>
      </xdr:nvSpPr>
      <xdr:spPr>
        <a:xfrm>
          <a:off x="342900" y="361950"/>
          <a:ext cx="4095750" cy="4381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800">
              <a:solidFill>
                <a:schemeClr val="bg1"/>
              </a:solidFill>
              <a:latin typeface="Arial Black" panose="020B0A04020102020204" pitchFamily="34" charset="0"/>
            </a:rPr>
            <a:t>Transaction Dashboard</a:t>
          </a:r>
        </a:p>
      </xdr:txBody>
    </xdr:sp>
    <xdr:clientData/>
  </xdr:twoCellAnchor>
  <xdr:twoCellAnchor>
    <xdr:from>
      <xdr:col>1</xdr:col>
      <xdr:colOff>158750</xdr:colOff>
      <xdr:row>10</xdr:row>
      <xdr:rowOff>31750</xdr:rowOff>
    </xdr:from>
    <xdr:to>
      <xdr:col>9</xdr:col>
      <xdr:colOff>0</xdr:colOff>
      <xdr:row>23</xdr:row>
      <xdr:rowOff>57150</xdr:rowOff>
    </xdr:to>
    <xdr:grpSp>
      <xdr:nvGrpSpPr>
        <xdr:cNvPr id="43" name="Group 42">
          <a:extLst>
            <a:ext uri="{FF2B5EF4-FFF2-40B4-BE49-F238E27FC236}">
              <a16:creationId xmlns:a16="http://schemas.microsoft.com/office/drawing/2014/main" id="{BED2F441-21FC-5B77-8D64-B94B0BA683AA}"/>
            </a:ext>
          </a:extLst>
        </xdr:cNvPr>
        <xdr:cNvGrpSpPr/>
      </xdr:nvGrpSpPr>
      <xdr:grpSpPr>
        <a:xfrm>
          <a:off x="770659" y="1879023"/>
          <a:ext cx="4736523" cy="2426854"/>
          <a:chOff x="768350" y="1873250"/>
          <a:chExt cx="4235450" cy="2419350"/>
        </a:xfrm>
      </xdr:grpSpPr>
      <xdr:sp macro="" textlink="">
        <xdr:nvSpPr>
          <xdr:cNvPr id="42" name="Rectangle: Rounded Corners 41">
            <a:extLst>
              <a:ext uri="{FF2B5EF4-FFF2-40B4-BE49-F238E27FC236}">
                <a16:creationId xmlns:a16="http://schemas.microsoft.com/office/drawing/2014/main" id="{A5EBAAA8-1460-61CA-DB9E-87281D3D9BFE}"/>
              </a:ext>
            </a:extLst>
          </xdr:cNvPr>
          <xdr:cNvSpPr/>
        </xdr:nvSpPr>
        <xdr:spPr>
          <a:xfrm>
            <a:off x="800100" y="1873250"/>
            <a:ext cx="4203700" cy="2400300"/>
          </a:xfrm>
          <a:prstGeom prst="roundRect">
            <a:avLst>
              <a:gd name="adj" fmla="val 5169"/>
            </a:avLst>
          </a:prstGeom>
          <a:solidFill>
            <a:schemeClr val="tx1">
              <a:lumMod val="65000"/>
              <a:lumOff val="3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sp macro="" textlink="">
        <xdr:nvSpPr>
          <xdr:cNvPr id="41" name="Rectangle: Rounded Corners 40">
            <a:extLst>
              <a:ext uri="{FF2B5EF4-FFF2-40B4-BE49-F238E27FC236}">
                <a16:creationId xmlns:a16="http://schemas.microsoft.com/office/drawing/2014/main" id="{34E664E8-6BC3-653C-25F1-AA772950974E}"/>
              </a:ext>
            </a:extLst>
          </xdr:cNvPr>
          <xdr:cNvSpPr/>
        </xdr:nvSpPr>
        <xdr:spPr>
          <a:xfrm>
            <a:off x="768350" y="1892300"/>
            <a:ext cx="4203700" cy="2400300"/>
          </a:xfrm>
          <a:prstGeom prst="roundRect">
            <a:avLst>
              <a:gd name="adj" fmla="val 5169"/>
            </a:avLst>
          </a:prstGeom>
          <a:solidFill>
            <a:schemeClr val="tx1">
              <a:lumMod val="95000"/>
              <a:lumOff val="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</xdr:grpSp>
    <xdr:clientData/>
  </xdr:twoCellAnchor>
  <xdr:twoCellAnchor>
    <xdr:from>
      <xdr:col>1</xdr:col>
      <xdr:colOff>184150</xdr:colOff>
      <xdr:row>10</xdr:row>
      <xdr:rowOff>127000</xdr:rowOff>
    </xdr:from>
    <xdr:to>
      <xdr:col>7</xdr:col>
      <xdr:colOff>425450</xdr:colOff>
      <xdr:row>12</xdr:row>
      <xdr:rowOff>76200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BB1C9CF4-E925-4974-A153-2089229B9E50}"/>
            </a:ext>
          </a:extLst>
        </xdr:cNvPr>
        <xdr:cNvSpPr txBox="1"/>
      </xdr:nvSpPr>
      <xdr:spPr>
        <a:xfrm>
          <a:off x="793750" y="1968500"/>
          <a:ext cx="3898900" cy="317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1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Bus</a:t>
          </a:r>
          <a:r>
            <a:rPr lang="en-IN" sz="1100" b="0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Utilization by Time Range</a:t>
          </a:r>
          <a:r>
            <a:rPr lang="en-IN" sz="900" b="0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(Total Passengers by Time)</a:t>
          </a:r>
          <a:endParaRPr lang="en-IN" sz="1100" b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</xdr:col>
      <xdr:colOff>279400</xdr:colOff>
      <xdr:row>11</xdr:row>
      <xdr:rowOff>50800</xdr:rowOff>
    </xdr:from>
    <xdr:to>
      <xdr:col>1</xdr:col>
      <xdr:colOff>400050</xdr:colOff>
      <xdr:row>11</xdr:row>
      <xdr:rowOff>165100</xdr:rowOff>
    </xdr:to>
    <xdr:sp macro="" textlink="">
      <xdr:nvSpPr>
        <xdr:cNvPr id="45" name="Flowchart: Connector 44">
          <a:extLst>
            <a:ext uri="{FF2B5EF4-FFF2-40B4-BE49-F238E27FC236}">
              <a16:creationId xmlns:a16="http://schemas.microsoft.com/office/drawing/2014/main" id="{A32AD19D-2D8D-4768-948D-334EE7E10C66}"/>
            </a:ext>
          </a:extLst>
        </xdr:cNvPr>
        <xdr:cNvSpPr/>
      </xdr:nvSpPr>
      <xdr:spPr>
        <a:xfrm>
          <a:off x="889000" y="2076450"/>
          <a:ext cx="120650" cy="114300"/>
        </a:xfrm>
        <a:prstGeom prst="flowChartConnector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368300</xdr:colOff>
      <xdr:row>13</xdr:row>
      <xdr:rowOff>44450</xdr:rowOff>
    </xdr:from>
    <xdr:to>
      <xdr:col>6</xdr:col>
      <xdr:colOff>184150</xdr:colOff>
      <xdr:row>22</xdr:row>
      <xdr:rowOff>146050</xdr:rowOff>
    </xdr:to>
    <xdr:graphicFrame macro="">
      <xdr:nvGraphicFramePr>
        <xdr:cNvPr id="46" name="Chart 45">
          <a:extLst>
            <a:ext uri="{FF2B5EF4-FFF2-40B4-BE49-F238E27FC236}">
              <a16:creationId xmlns:a16="http://schemas.microsoft.com/office/drawing/2014/main" id="{6D7D6694-3AE7-44BB-B6AA-413DB27563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317500</xdr:colOff>
      <xdr:row>12</xdr:row>
      <xdr:rowOff>146050</xdr:rowOff>
    </xdr:from>
    <xdr:to>
      <xdr:col>8</xdr:col>
      <xdr:colOff>0</xdr:colOff>
      <xdr:row>14</xdr:row>
      <xdr:rowOff>69850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4A43E4D2-5D21-2F80-75D8-CD5FC27F0D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lum bright="70000" contrast="-7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84700" y="2355850"/>
          <a:ext cx="292100" cy="2921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234950</xdr:colOff>
      <xdr:row>17</xdr:row>
      <xdr:rowOff>165100</xdr:rowOff>
    </xdr:from>
    <xdr:to>
      <xdr:col>8</xdr:col>
      <xdr:colOff>38100</xdr:colOff>
      <xdr:row>20</xdr:row>
      <xdr:rowOff>25400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9A68D777-FD65-602C-0EAF-039A297133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lum bright="70000" contrast="-7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2150" y="3295650"/>
          <a:ext cx="412750" cy="412750"/>
        </a:xfrm>
        <a:prstGeom prst="rect">
          <a:avLst/>
        </a:prstGeom>
      </xdr:spPr>
    </xdr:pic>
    <xdr:clientData/>
  </xdr:twoCellAnchor>
  <xdr:twoCellAnchor>
    <xdr:from>
      <xdr:col>6</xdr:col>
      <xdr:colOff>323850</xdr:colOff>
      <xdr:row>14</xdr:row>
      <xdr:rowOff>82550</xdr:rowOff>
    </xdr:from>
    <xdr:to>
      <xdr:col>9</xdr:col>
      <xdr:colOff>6350</xdr:colOff>
      <xdr:row>16</xdr:row>
      <xdr:rowOff>31750</xdr:rowOff>
    </xdr:to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27CBE0AD-45A0-4908-ADC8-9896EE776DA3}"/>
            </a:ext>
          </a:extLst>
        </xdr:cNvPr>
        <xdr:cNvSpPr txBox="1"/>
      </xdr:nvSpPr>
      <xdr:spPr>
        <a:xfrm>
          <a:off x="3981450" y="2660650"/>
          <a:ext cx="1511300" cy="317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8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Peak</a:t>
          </a:r>
          <a:r>
            <a:rPr lang="en-IN" sz="800" b="0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hours of Operation</a:t>
          </a:r>
          <a:endParaRPr lang="en-IN" sz="800" b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6</xdr:col>
      <xdr:colOff>317500</xdr:colOff>
      <xdr:row>20</xdr:row>
      <xdr:rowOff>38100</xdr:rowOff>
    </xdr:from>
    <xdr:to>
      <xdr:col>9</xdr:col>
      <xdr:colOff>0</xdr:colOff>
      <xdr:row>21</xdr:row>
      <xdr:rowOff>171450</xdr:rowOff>
    </xdr:to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5C160153-C4FA-42B3-81C8-F4ED7185AAD1}"/>
            </a:ext>
          </a:extLst>
        </xdr:cNvPr>
        <xdr:cNvSpPr txBox="1"/>
      </xdr:nvSpPr>
      <xdr:spPr>
        <a:xfrm>
          <a:off x="3975100" y="3721100"/>
          <a:ext cx="1511300" cy="317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8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Off - Peak</a:t>
          </a:r>
          <a:r>
            <a:rPr lang="en-IN" sz="800" b="0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hours of Operation</a:t>
          </a:r>
          <a:endParaRPr lang="en-IN" sz="800" b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6</xdr:col>
      <xdr:colOff>311150</xdr:colOff>
      <xdr:row>15</xdr:row>
      <xdr:rowOff>63500</xdr:rowOff>
    </xdr:from>
    <xdr:to>
      <xdr:col>8</xdr:col>
      <xdr:colOff>603250</xdr:colOff>
      <xdr:row>17</xdr:row>
      <xdr:rowOff>12700</xdr:rowOff>
    </xdr:to>
    <xdr:sp macro="" textlink="'Analysis 1'!$I$17">
      <xdr:nvSpPr>
        <xdr:cNvPr id="61" name="TextBox 60">
          <a:extLst>
            <a:ext uri="{FF2B5EF4-FFF2-40B4-BE49-F238E27FC236}">
              <a16:creationId xmlns:a16="http://schemas.microsoft.com/office/drawing/2014/main" id="{C767970E-9C41-4013-9DEC-2B32DD201946}"/>
            </a:ext>
          </a:extLst>
        </xdr:cNvPr>
        <xdr:cNvSpPr txBox="1"/>
      </xdr:nvSpPr>
      <xdr:spPr>
        <a:xfrm>
          <a:off x="3968750" y="2825750"/>
          <a:ext cx="1511300" cy="317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27E774ED-828F-48F8-A60C-90DF4F328183}" type="TxLink">
            <a:rPr lang="en-US" sz="1400" b="1" i="0" u="none" strike="noStrike">
              <a:solidFill>
                <a:schemeClr val="bg1"/>
              </a:solidFill>
              <a:latin typeface="Aptos Narrow"/>
              <a:cs typeface="Arial" panose="020B0604020202020204" pitchFamily="34" charset="0"/>
            </a:rPr>
            <a:pPr algn="ctr"/>
            <a:t>11:41:00</a:t>
          </a:fld>
          <a:endParaRPr lang="en-IN" sz="1000" b="1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6</xdr:col>
      <xdr:colOff>330200</xdr:colOff>
      <xdr:row>21</xdr:row>
      <xdr:rowOff>25400</xdr:rowOff>
    </xdr:from>
    <xdr:to>
      <xdr:col>9</xdr:col>
      <xdr:colOff>12700</xdr:colOff>
      <xdr:row>22</xdr:row>
      <xdr:rowOff>158750</xdr:rowOff>
    </xdr:to>
    <xdr:sp macro="" textlink="'Analysis 1'!$L$17">
      <xdr:nvSpPr>
        <xdr:cNvPr id="62" name="TextBox 61">
          <a:extLst>
            <a:ext uri="{FF2B5EF4-FFF2-40B4-BE49-F238E27FC236}">
              <a16:creationId xmlns:a16="http://schemas.microsoft.com/office/drawing/2014/main" id="{55FF1E21-32D4-4BFF-8751-B9660706125C}"/>
            </a:ext>
          </a:extLst>
        </xdr:cNvPr>
        <xdr:cNvSpPr txBox="1"/>
      </xdr:nvSpPr>
      <xdr:spPr>
        <a:xfrm>
          <a:off x="3987800" y="3892550"/>
          <a:ext cx="1511300" cy="317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CC1066F4-AFA6-46A9-ABC8-4D617BD7AF81}" type="TxLink">
            <a:rPr lang="en-US" sz="1400" b="1" i="0" u="none" strike="noStrike">
              <a:solidFill>
                <a:schemeClr val="bg1"/>
              </a:solidFill>
              <a:latin typeface="Aptos Narrow"/>
              <a:cs typeface="Arial" panose="020B0604020202020204" pitchFamily="34" charset="0"/>
            </a:rPr>
            <a:pPr algn="ctr"/>
            <a:t>12:34:00</a:t>
          </a:fld>
          <a:endParaRPr lang="en-IN" sz="1000" b="1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</xdr:col>
      <xdr:colOff>158750</xdr:colOff>
      <xdr:row>23</xdr:row>
      <xdr:rowOff>107950</xdr:rowOff>
    </xdr:from>
    <xdr:to>
      <xdr:col>9</xdr:col>
      <xdr:colOff>0</xdr:colOff>
      <xdr:row>32</xdr:row>
      <xdr:rowOff>139700</xdr:rowOff>
    </xdr:to>
    <xdr:grpSp>
      <xdr:nvGrpSpPr>
        <xdr:cNvPr id="17" name="Group 16">
          <a:extLst>
            <a:ext uri="{FF2B5EF4-FFF2-40B4-BE49-F238E27FC236}">
              <a16:creationId xmlns:a16="http://schemas.microsoft.com/office/drawing/2014/main" id="{A0708C67-47DD-8D79-E9BB-C41441EE4B54}"/>
            </a:ext>
          </a:extLst>
        </xdr:cNvPr>
        <xdr:cNvGrpSpPr/>
      </xdr:nvGrpSpPr>
      <xdr:grpSpPr>
        <a:xfrm>
          <a:off x="770659" y="4356677"/>
          <a:ext cx="4736523" cy="1694296"/>
          <a:chOff x="768350" y="1873250"/>
          <a:chExt cx="4235450" cy="2419350"/>
        </a:xfrm>
      </xdr:grpSpPr>
      <xdr:sp macro="" textlink="">
        <xdr:nvSpPr>
          <xdr:cNvPr id="18" name="Rectangle: Rounded Corners 17">
            <a:extLst>
              <a:ext uri="{FF2B5EF4-FFF2-40B4-BE49-F238E27FC236}">
                <a16:creationId xmlns:a16="http://schemas.microsoft.com/office/drawing/2014/main" id="{1A2A37BF-4F00-D332-28D3-D4F0121012D8}"/>
              </a:ext>
            </a:extLst>
          </xdr:cNvPr>
          <xdr:cNvSpPr/>
        </xdr:nvSpPr>
        <xdr:spPr>
          <a:xfrm>
            <a:off x="800100" y="1873250"/>
            <a:ext cx="4203700" cy="2400300"/>
          </a:xfrm>
          <a:prstGeom prst="roundRect">
            <a:avLst>
              <a:gd name="adj" fmla="val 5169"/>
            </a:avLst>
          </a:prstGeom>
          <a:solidFill>
            <a:schemeClr val="tx1">
              <a:lumMod val="65000"/>
              <a:lumOff val="3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sp macro="" textlink="">
        <xdr:nvSpPr>
          <xdr:cNvPr id="19" name="Rectangle: Rounded Corners 18">
            <a:extLst>
              <a:ext uri="{FF2B5EF4-FFF2-40B4-BE49-F238E27FC236}">
                <a16:creationId xmlns:a16="http://schemas.microsoft.com/office/drawing/2014/main" id="{373C5934-9F79-031D-9868-2603644EE163}"/>
              </a:ext>
            </a:extLst>
          </xdr:cNvPr>
          <xdr:cNvSpPr/>
        </xdr:nvSpPr>
        <xdr:spPr>
          <a:xfrm>
            <a:off x="768350" y="1892300"/>
            <a:ext cx="4203700" cy="2400300"/>
          </a:xfrm>
          <a:prstGeom prst="roundRect">
            <a:avLst>
              <a:gd name="adj" fmla="val 5169"/>
            </a:avLst>
          </a:prstGeom>
          <a:solidFill>
            <a:schemeClr val="tx1">
              <a:lumMod val="95000"/>
              <a:lumOff val="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</xdr:grpSp>
    <xdr:clientData/>
  </xdr:twoCellAnchor>
  <xdr:twoCellAnchor>
    <xdr:from>
      <xdr:col>1</xdr:col>
      <xdr:colOff>254000</xdr:colOff>
      <xdr:row>25</xdr:row>
      <xdr:rowOff>146050</xdr:rowOff>
    </xdr:from>
    <xdr:to>
      <xdr:col>5</xdr:col>
      <xdr:colOff>355600</xdr:colOff>
      <xdr:row>32</xdr:row>
      <xdr:rowOff>101600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617C6D8D-E701-41B3-8AC5-703B2AB74B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209550</xdr:colOff>
      <xdr:row>23</xdr:row>
      <xdr:rowOff>177800</xdr:rowOff>
    </xdr:from>
    <xdr:to>
      <xdr:col>5</xdr:col>
      <xdr:colOff>196850</xdr:colOff>
      <xdr:row>25</xdr:row>
      <xdr:rowOff>127000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63AF5AC3-547A-4D9C-9588-C72E308BD472}"/>
            </a:ext>
          </a:extLst>
        </xdr:cNvPr>
        <xdr:cNvSpPr txBox="1"/>
      </xdr:nvSpPr>
      <xdr:spPr>
        <a:xfrm>
          <a:off x="819150" y="4413250"/>
          <a:ext cx="2425700" cy="317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1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Total</a:t>
          </a:r>
          <a:r>
            <a:rPr lang="en-IN" sz="1100" b="0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Riders Yearly Distribution</a:t>
          </a:r>
          <a:endParaRPr lang="en-IN" sz="1100" b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</xdr:col>
      <xdr:colOff>273050</xdr:colOff>
      <xdr:row>24</xdr:row>
      <xdr:rowOff>95250</xdr:rowOff>
    </xdr:from>
    <xdr:to>
      <xdr:col>1</xdr:col>
      <xdr:colOff>393700</xdr:colOff>
      <xdr:row>25</xdr:row>
      <xdr:rowOff>25400</xdr:rowOff>
    </xdr:to>
    <xdr:sp macro="" textlink="">
      <xdr:nvSpPr>
        <xdr:cNvPr id="21" name="Flowchart: Connector 20">
          <a:extLst>
            <a:ext uri="{FF2B5EF4-FFF2-40B4-BE49-F238E27FC236}">
              <a16:creationId xmlns:a16="http://schemas.microsoft.com/office/drawing/2014/main" id="{975EEF54-456A-484C-A0D7-E53EC855A2A7}"/>
            </a:ext>
          </a:extLst>
        </xdr:cNvPr>
        <xdr:cNvSpPr/>
      </xdr:nvSpPr>
      <xdr:spPr>
        <a:xfrm>
          <a:off x="882650" y="4514850"/>
          <a:ext cx="120650" cy="114300"/>
        </a:xfrm>
        <a:prstGeom prst="flowChartConnector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158750</xdr:colOff>
      <xdr:row>26</xdr:row>
      <xdr:rowOff>6350</xdr:rowOff>
    </xdr:from>
    <xdr:to>
      <xdr:col>6</xdr:col>
      <xdr:colOff>590550</xdr:colOff>
      <xdr:row>29</xdr:row>
      <xdr:rowOff>44450</xdr:rowOff>
    </xdr:to>
    <xdr:grpSp>
      <xdr:nvGrpSpPr>
        <xdr:cNvPr id="26" name="Group 25">
          <a:extLst>
            <a:ext uri="{FF2B5EF4-FFF2-40B4-BE49-F238E27FC236}">
              <a16:creationId xmlns:a16="http://schemas.microsoft.com/office/drawing/2014/main" id="{E329F5FB-8082-4A80-0E5D-785AEF06FF2A}"/>
            </a:ext>
          </a:extLst>
        </xdr:cNvPr>
        <xdr:cNvGrpSpPr/>
      </xdr:nvGrpSpPr>
      <xdr:grpSpPr>
        <a:xfrm>
          <a:off x="3218295" y="4809259"/>
          <a:ext cx="1043710" cy="592282"/>
          <a:chOff x="3606800" y="4813300"/>
          <a:chExt cx="1111250" cy="622300"/>
        </a:xfrm>
      </xdr:grpSpPr>
      <xdr:grpSp>
        <xdr:nvGrpSpPr>
          <xdr:cNvPr id="24" name="Group 23">
            <a:extLst>
              <a:ext uri="{FF2B5EF4-FFF2-40B4-BE49-F238E27FC236}">
                <a16:creationId xmlns:a16="http://schemas.microsoft.com/office/drawing/2014/main" id="{B59ABF9C-9E8F-005E-E609-5ECC165B1A83}"/>
              </a:ext>
            </a:extLst>
          </xdr:cNvPr>
          <xdr:cNvGrpSpPr/>
        </xdr:nvGrpSpPr>
        <xdr:grpSpPr>
          <a:xfrm>
            <a:off x="3619500" y="4813300"/>
            <a:ext cx="1098550" cy="438150"/>
            <a:chOff x="3460750" y="4730750"/>
            <a:chExt cx="1098550" cy="438150"/>
          </a:xfrm>
        </xdr:grpSpPr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4C636238-890D-4A69-9D1D-0FE9F504607E}"/>
                </a:ext>
              </a:extLst>
            </xdr:cNvPr>
            <xdr:cNvSpPr txBox="1"/>
          </xdr:nvSpPr>
          <xdr:spPr>
            <a:xfrm>
              <a:off x="3460750" y="4730750"/>
              <a:ext cx="1098550" cy="2540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IN" sz="1000" b="0">
                  <a:solidFill>
                    <a:schemeClr val="bg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YOY</a:t>
              </a:r>
              <a:r>
                <a:rPr lang="en-IN" sz="1000" b="0" baseline="0">
                  <a:solidFill>
                    <a:schemeClr val="bg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Change</a:t>
              </a:r>
              <a:endParaRPr lang="en-IN" sz="1000" b="0">
                <a:solidFill>
                  <a:schemeClr val="bg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</xdr:txBody>
        </xdr:sp>
        <xdr:sp macro="" textlink="'Analysis 1'!$S$19">
          <xdr:nvSpPr>
            <xdr:cNvPr id="23" name="TextBox 22">
              <a:extLst>
                <a:ext uri="{FF2B5EF4-FFF2-40B4-BE49-F238E27FC236}">
                  <a16:creationId xmlns:a16="http://schemas.microsoft.com/office/drawing/2014/main" id="{E8624258-BA6C-43A5-BE92-40402C077ED7}"/>
                </a:ext>
              </a:extLst>
            </xdr:cNvPr>
            <xdr:cNvSpPr txBox="1"/>
          </xdr:nvSpPr>
          <xdr:spPr>
            <a:xfrm>
              <a:off x="3460750" y="4914900"/>
              <a:ext cx="1098550" cy="2540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fld id="{BB2C1B6D-29B0-4910-9989-AD5229BEE4DD}" type="TxLink">
                <a:rPr lang="en-US" sz="1600" b="1" i="0" u="none" strike="noStrike">
                  <a:solidFill>
                    <a:schemeClr val="bg1"/>
                  </a:solidFill>
                  <a:latin typeface="Aptos Narrow"/>
                  <a:cs typeface="Arial" panose="020B0604020202020204" pitchFamily="34" charset="0"/>
                </a:rPr>
                <a:pPr algn="ctr"/>
                <a:t>-83.50%</a:t>
              </a:fld>
              <a:endParaRPr lang="en-IN" sz="1200" b="1">
                <a:solidFill>
                  <a:schemeClr val="bg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</xdr:txBody>
        </xdr:sp>
      </xdr:grpSp>
      <xdr:sp macro="" textlink="'Analysis 1'!$T$19">
        <xdr:nvSpPr>
          <xdr:cNvPr id="25" name="TextBox 24">
            <a:extLst>
              <a:ext uri="{FF2B5EF4-FFF2-40B4-BE49-F238E27FC236}">
                <a16:creationId xmlns:a16="http://schemas.microsoft.com/office/drawing/2014/main" id="{853C96AF-A9D8-43AA-98E7-50D82580C216}"/>
              </a:ext>
            </a:extLst>
          </xdr:cNvPr>
          <xdr:cNvSpPr txBox="1"/>
        </xdr:nvSpPr>
        <xdr:spPr>
          <a:xfrm>
            <a:off x="3606800" y="5181600"/>
            <a:ext cx="1098550" cy="254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68F01219-ABF4-47C3-A60C-2DCF83693690}" type="TxLink">
              <a:rPr lang="en-US" sz="1800" b="0" i="0" u="none" strike="noStrike">
                <a:solidFill>
                  <a:schemeClr val="bg1">
                    <a:lumMod val="75000"/>
                  </a:schemeClr>
                </a:solidFill>
                <a:latin typeface="Aptos Narrow"/>
                <a:cs typeface="Arial" panose="020B0604020202020204" pitchFamily="34" charset="0"/>
              </a:rPr>
              <a:pPr algn="ctr"/>
              <a:t>▼</a:t>
            </a:fld>
            <a:endParaRPr lang="en-IN" sz="2000" b="1">
              <a:solidFill>
                <a:schemeClr val="bg1">
                  <a:lumMod val="7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</xdr:grpSp>
    <xdr:clientData/>
  </xdr:twoCellAnchor>
  <xdr:twoCellAnchor>
    <xdr:from>
      <xdr:col>6</xdr:col>
      <xdr:colOff>603250</xdr:colOff>
      <xdr:row>24</xdr:row>
      <xdr:rowOff>38100</xdr:rowOff>
    </xdr:from>
    <xdr:to>
      <xdr:col>8</xdr:col>
      <xdr:colOff>558800</xdr:colOff>
      <xdr:row>32</xdr:row>
      <xdr:rowOff>127000</xdr:rowOff>
    </xdr:to>
    <xdr:sp macro="" textlink="'Analysis 1'!$V$19">
      <xdr:nvSpPr>
        <xdr:cNvPr id="27" name="Rectangle: Rounded Corners 26">
          <a:extLst>
            <a:ext uri="{FF2B5EF4-FFF2-40B4-BE49-F238E27FC236}">
              <a16:creationId xmlns:a16="http://schemas.microsoft.com/office/drawing/2014/main" id="{A267F848-9EF3-2333-7968-07A2B5FF31B2}"/>
            </a:ext>
          </a:extLst>
        </xdr:cNvPr>
        <xdr:cNvSpPr/>
      </xdr:nvSpPr>
      <xdr:spPr>
        <a:xfrm>
          <a:off x="4260850" y="4457700"/>
          <a:ext cx="1174750" cy="1562100"/>
        </a:xfrm>
        <a:prstGeom prst="roundRect">
          <a:avLst>
            <a:gd name="adj" fmla="val 10215"/>
          </a:avLst>
        </a:prstGeom>
        <a:gradFill flip="none" rotWithShape="1">
          <a:gsLst>
            <a:gs pos="85000">
              <a:schemeClr val="bg2">
                <a:lumMod val="50000"/>
              </a:schemeClr>
            </a:gs>
            <a:gs pos="40000">
              <a:schemeClr val="bg2">
                <a:lumMod val="25000"/>
              </a:schemeClr>
            </a:gs>
            <a:gs pos="0">
              <a:schemeClr val="tx1"/>
            </a:gs>
          </a:gsLst>
          <a:lin ang="162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AB3848BE-72BB-464F-8E4C-5A617D2348D2}" type="TxLink">
            <a:rPr lang="en-US" sz="1100" b="1" i="0" u="none" strike="noStrike">
              <a:solidFill>
                <a:schemeClr val="bg1"/>
              </a:solidFill>
              <a:latin typeface="Aptos Narrow"/>
            </a:rPr>
            <a:pPr algn="ctr"/>
            <a:t>YOY change sugests room for improvement</a:t>
          </a:fld>
          <a:endParaRPr lang="en-IN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7</xdr:col>
      <xdr:colOff>368300</xdr:colOff>
      <xdr:row>23</xdr:row>
      <xdr:rowOff>82550</xdr:rowOff>
    </xdr:from>
    <xdr:to>
      <xdr:col>8</xdr:col>
      <xdr:colOff>184150</xdr:colOff>
      <xdr:row>25</xdr:row>
      <xdr:rowOff>88900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B1CD11B2-E2BB-4E05-AEBD-6E03B63B96AC}"/>
            </a:ext>
          </a:extLst>
        </xdr:cNvPr>
        <xdr:cNvSpPr/>
      </xdr:nvSpPr>
      <xdr:spPr>
        <a:xfrm>
          <a:off x="4635500" y="4318000"/>
          <a:ext cx="425450" cy="374650"/>
        </a:xfrm>
        <a:prstGeom prst="ellipse">
          <a:avLst/>
        </a:prstGeom>
        <a:solidFill>
          <a:schemeClr val="tx1">
            <a:lumMod val="95000"/>
            <a:lumOff val="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7</xdr:col>
      <xdr:colOff>393700</xdr:colOff>
      <xdr:row>23</xdr:row>
      <xdr:rowOff>82550</xdr:rowOff>
    </xdr:from>
    <xdr:to>
      <xdr:col>8</xdr:col>
      <xdr:colOff>146050</xdr:colOff>
      <xdr:row>25</xdr:row>
      <xdr:rowOff>63500</xdr:rowOff>
    </xdr:to>
    <xdr:pic>
      <xdr:nvPicPr>
        <xdr:cNvPr id="48" name="Graphic 47" descr="Lightbulb with solid fill">
          <a:extLst>
            <a:ext uri="{FF2B5EF4-FFF2-40B4-BE49-F238E27FC236}">
              <a16:creationId xmlns:a16="http://schemas.microsoft.com/office/drawing/2014/main" id="{4CF90738-2A3D-9B07-7893-FBAB47A84A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 flipH="1">
          <a:off x="4660900" y="4318000"/>
          <a:ext cx="361950" cy="349250"/>
        </a:xfrm>
        <a:prstGeom prst="rect">
          <a:avLst/>
        </a:prstGeom>
      </xdr:spPr>
    </xdr:pic>
    <xdr:clientData/>
  </xdr:twoCellAnchor>
  <xdr:twoCellAnchor>
    <xdr:from>
      <xdr:col>9</xdr:col>
      <xdr:colOff>88900</xdr:colOff>
      <xdr:row>10</xdr:row>
      <xdr:rowOff>31750</xdr:rowOff>
    </xdr:from>
    <xdr:to>
      <xdr:col>13</xdr:col>
      <xdr:colOff>19050</xdr:colOff>
      <xdr:row>32</xdr:row>
      <xdr:rowOff>139700</xdr:rowOff>
    </xdr:to>
    <xdr:grpSp>
      <xdr:nvGrpSpPr>
        <xdr:cNvPr id="50" name="Group 49">
          <a:extLst>
            <a:ext uri="{FF2B5EF4-FFF2-40B4-BE49-F238E27FC236}">
              <a16:creationId xmlns:a16="http://schemas.microsoft.com/office/drawing/2014/main" id="{306F9615-52A3-AB7C-3706-86CE9776C4C7}"/>
            </a:ext>
          </a:extLst>
        </xdr:cNvPr>
        <xdr:cNvGrpSpPr/>
      </xdr:nvGrpSpPr>
      <xdr:grpSpPr>
        <a:xfrm>
          <a:off x="5596082" y="1879023"/>
          <a:ext cx="2377786" cy="4171950"/>
          <a:chOff x="768350" y="1873250"/>
          <a:chExt cx="4235450" cy="2419350"/>
        </a:xfrm>
      </xdr:grpSpPr>
      <xdr:sp macro="" textlink="">
        <xdr:nvSpPr>
          <xdr:cNvPr id="51" name="Rectangle: Rounded Corners 50">
            <a:extLst>
              <a:ext uri="{FF2B5EF4-FFF2-40B4-BE49-F238E27FC236}">
                <a16:creationId xmlns:a16="http://schemas.microsoft.com/office/drawing/2014/main" id="{856A2F83-B842-61D6-7ACD-B441EA85967F}"/>
              </a:ext>
            </a:extLst>
          </xdr:cNvPr>
          <xdr:cNvSpPr/>
        </xdr:nvSpPr>
        <xdr:spPr>
          <a:xfrm>
            <a:off x="800100" y="1873250"/>
            <a:ext cx="4203700" cy="2400300"/>
          </a:xfrm>
          <a:prstGeom prst="roundRect">
            <a:avLst>
              <a:gd name="adj" fmla="val 5169"/>
            </a:avLst>
          </a:prstGeom>
          <a:solidFill>
            <a:schemeClr val="tx1">
              <a:lumMod val="65000"/>
              <a:lumOff val="3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sp macro="" textlink="">
        <xdr:nvSpPr>
          <xdr:cNvPr id="52" name="Rectangle: Rounded Corners 51">
            <a:extLst>
              <a:ext uri="{FF2B5EF4-FFF2-40B4-BE49-F238E27FC236}">
                <a16:creationId xmlns:a16="http://schemas.microsoft.com/office/drawing/2014/main" id="{28DD040D-18A8-984B-681D-75BC30B1D3B4}"/>
              </a:ext>
            </a:extLst>
          </xdr:cNvPr>
          <xdr:cNvSpPr/>
        </xdr:nvSpPr>
        <xdr:spPr>
          <a:xfrm>
            <a:off x="768350" y="1892300"/>
            <a:ext cx="4203700" cy="2400300"/>
          </a:xfrm>
          <a:prstGeom prst="roundRect">
            <a:avLst>
              <a:gd name="adj" fmla="val 5169"/>
            </a:avLst>
          </a:prstGeom>
          <a:solidFill>
            <a:schemeClr val="tx1">
              <a:lumMod val="95000"/>
              <a:lumOff val="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</xdr:grpSp>
    <xdr:clientData/>
  </xdr:twoCellAnchor>
  <xdr:twoCellAnchor>
    <xdr:from>
      <xdr:col>9</xdr:col>
      <xdr:colOff>76200</xdr:colOff>
      <xdr:row>23</xdr:row>
      <xdr:rowOff>50800</xdr:rowOff>
    </xdr:from>
    <xdr:to>
      <xdr:col>12</xdr:col>
      <xdr:colOff>584200</xdr:colOff>
      <xdr:row>33</xdr:row>
      <xdr:rowOff>57150</xdr:rowOff>
    </xdr:to>
    <xdr:graphicFrame macro="">
      <xdr:nvGraphicFramePr>
        <xdr:cNvPr id="49" name="Chart 48">
          <a:extLst>
            <a:ext uri="{FF2B5EF4-FFF2-40B4-BE49-F238E27FC236}">
              <a16:creationId xmlns:a16="http://schemas.microsoft.com/office/drawing/2014/main" id="{BDF5A148-9940-4994-BBC9-259B619283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107950</xdr:colOff>
      <xdr:row>21</xdr:row>
      <xdr:rowOff>12700</xdr:rowOff>
    </xdr:from>
    <xdr:to>
      <xdr:col>12</xdr:col>
      <xdr:colOff>603250</xdr:colOff>
      <xdr:row>25</xdr:row>
      <xdr:rowOff>19050</xdr:rowOff>
    </xdr:to>
    <xdr:sp macro="" textlink="'Analysis 1'!$AH$22">
      <xdr:nvSpPr>
        <xdr:cNvPr id="53" name="TextBox 52">
          <a:extLst>
            <a:ext uri="{FF2B5EF4-FFF2-40B4-BE49-F238E27FC236}">
              <a16:creationId xmlns:a16="http://schemas.microsoft.com/office/drawing/2014/main" id="{921240B6-0B51-400E-BF14-DD5F2E3946FF}"/>
            </a:ext>
          </a:extLst>
        </xdr:cNvPr>
        <xdr:cNvSpPr txBox="1"/>
      </xdr:nvSpPr>
      <xdr:spPr>
        <a:xfrm>
          <a:off x="5594350" y="3879850"/>
          <a:ext cx="2324100" cy="742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A1923CB3-DC86-4221-9CAE-89AB663E2926}" type="TxLink">
            <a:rPr lang="en-US" sz="1050" b="0" i="0" u="none" strike="noStrike">
              <a:solidFill>
                <a:schemeClr val="bg1">
                  <a:lumMod val="50000"/>
                </a:schemeClr>
              </a:solidFill>
              <a:latin typeface="Aptos Narrow"/>
              <a:cs typeface="Arial" panose="020B0604020202020204" pitchFamily="34" charset="0"/>
            </a:rPr>
            <a:pPr algn="ctr"/>
            <a:t>Focus on Highlited Weakdays: they exceeded the 941 Passengers average and account for 49.4% of the Total Passengers</a:t>
          </a:fld>
          <a:endParaRPr lang="en-IN" sz="1050" b="0">
            <a:solidFill>
              <a:schemeClr val="bg1">
                <a:lumMod val="50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9</xdr:col>
      <xdr:colOff>114300</xdr:colOff>
      <xdr:row>18</xdr:row>
      <xdr:rowOff>177800</xdr:rowOff>
    </xdr:from>
    <xdr:to>
      <xdr:col>12</xdr:col>
      <xdr:colOff>596900</xdr:colOff>
      <xdr:row>20</xdr:row>
      <xdr:rowOff>127000</xdr:rowOff>
    </xdr:to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5B2BF6FF-4702-4927-9F46-E6A775E67802}"/>
            </a:ext>
          </a:extLst>
        </xdr:cNvPr>
        <xdr:cNvSpPr txBox="1"/>
      </xdr:nvSpPr>
      <xdr:spPr>
        <a:xfrm>
          <a:off x="5600700" y="3492500"/>
          <a:ext cx="2311400" cy="317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1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Riders</a:t>
          </a:r>
          <a:r>
            <a:rPr lang="en-IN" sz="1100" b="0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Weekday Distribution</a:t>
          </a:r>
          <a:endParaRPr lang="en-IN" sz="1100" b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9</xdr:col>
      <xdr:colOff>177800</xdr:colOff>
      <xdr:row>19</xdr:row>
      <xdr:rowOff>101600</xdr:rowOff>
    </xdr:from>
    <xdr:to>
      <xdr:col>9</xdr:col>
      <xdr:colOff>298450</xdr:colOff>
      <xdr:row>20</xdr:row>
      <xdr:rowOff>31750</xdr:rowOff>
    </xdr:to>
    <xdr:sp macro="" textlink="">
      <xdr:nvSpPr>
        <xdr:cNvPr id="55" name="Flowchart: Connector 54">
          <a:extLst>
            <a:ext uri="{FF2B5EF4-FFF2-40B4-BE49-F238E27FC236}">
              <a16:creationId xmlns:a16="http://schemas.microsoft.com/office/drawing/2014/main" id="{0328073A-654F-4465-8F7A-DF3649142296}"/>
            </a:ext>
          </a:extLst>
        </xdr:cNvPr>
        <xdr:cNvSpPr/>
      </xdr:nvSpPr>
      <xdr:spPr>
        <a:xfrm>
          <a:off x="5664200" y="3600450"/>
          <a:ext cx="120650" cy="114300"/>
        </a:xfrm>
        <a:prstGeom prst="flowChartConnector">
          <a:avLst/>
        </a:prstGeom>
        <a:solidFill>
          <a:schemeClr val="tx1">
            <a:lumMod val="65000"/>
            <a:lumOff val="35000"/>
            <a:alpha val="5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101601</xdr:colOff>
      <xdr:row>12</xdr:row>
      <xdr:rowOff>88900</xdr:rowOff>
    </xdr:from>
    <xdr:to>
      <xdr:col>12</xdr:col>
      <xdr:colOff>520700</xdr:colOff>
      <xdr:row>18</xdr:row>
      <xdr:rowOff>133350</xdr:rowOff>
    </xdr:to>
    <xdr:graphicFrame macro="">
      <xdr:nvGraphicFramePr>
        <xdr:cNvPr id="57" name="Chart 56">
          <a:extLst>
            <a:ext uri="{FF2B5EF4-FFF2-40B4-BE49-F238E27FC236}">
              <a16:creationId xmlns:a16="http://schemas.microsoft.com/office/drawing/2014/main" id="{DB8F7917-117A-4472-A735-1AD33AD163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9</xdr:col>
      <xdr:colOff>120650</xdr:colOff>
      <xdr:row>10</xdr:row>
      <xdr:rowOff>95250</xdr:rowOff>
    </xdr:from>
    <xdr:to>
      <xdr:col>12</xdr:col>
      <xdr:colOff>603250</xdr:colOff>
      <xdr:row>12</xdr:row>
      <xdr:rowOff>44450</xdr:rowOff>
    </xdr:to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70C1E96F-0167-4C39-875A-9CDC7B7F2057}"/>
            </a:ext>
          </a:extLst>
        </xdr:cNvPr>
        <xdr:cNvSpPr txBox="1"/>
      </xdr:nvSpPr>
      <xdr:spPr>
        <a:xfrm>
          <a:off x="5607050" y="1936750"/>
          <a:ext cx="2311400" cy="317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1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Riders</a:t>
          </a:r>
          <a:r>
            <a:rPr lang="en-IN" sz="1100" b="0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Monthly Distribution</a:t>
          </a:r>
          <a:endParaRPr lang="en-IN" sz="1100" b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9</xdr:col>
      <xdr:colOff>222250</xdr:colOff>
      <xdr:row>11</xdr:row>
      <xdr:rowOff>19050</xdr:rowOff>
    </xdr:from>
    <xdr:to>
      <xdr:col>9</xdr:col>
      <xdr:colOff>342900</xdr:colOff>
      <xdr:row>11</xdr:row>
      <xdr:rowOff>133350</xdr:rowOff>
    </xdr:to>
    <xdr:sp macro="" textlink="">
      <xdr:nvSpPr>
        <xdr:cNvPr id="64" name="Flowchart: Connector 63">
          <a:extLst>
            <a:ext uri="{FF2B5EF4-FFF2-40B4-BE49-F238E27FC236}">
              <a16:creationId xmlns:a16="http://schemas.microsoft.com/office/drawing/2014/main" id="{15942308-3DE4-4CB9-933E-923A9B5F9C90}"/>
            </a:ext>
          </a:extLst>
        </xdr:cNvPr>
        <xdr:cNvSpPr/>
      </xdr:nvSpPr>
      <xdr:spPr>
        <a:xfrm>
          <a:off x="5708650" y="2044700"/>
          <a:ext cx="120650" cy="114300"/>
        </a:xfrm>
        <a:prstGeom prst="flowChartConnector">
          <a:avLst/>
        </a:prstGeom>
        <a:solidFill>
          <a:schemeClr val="tx1">
            <a:lumMod val="65000"/>
            <a:lumOff val="35000"/>
            <a:alpha val="5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101600</xdr:colOff>
      <xdr:row>18</xdr:row>
      <xdr:rowOff>177800</xdr:rowOff>
    </xdr:from>
    <xdr:to>
      <xdr:col>12</xdr:col>
      <xdr:colOff>603250</xdr:colOff>
      <xdr:row>19</xdr:row>
      <xdr:rowOff>39369</xdr:rowOff>
    </xdr:to>
    <xdr:sp macro="" textlink="">
      <xdr:nvSpPr>
        <xdr:cNvPr id="65" name="Rectangle 64">
          <a:extLst>
            <a:ext uri="{FF2B5EF4-FFF2-40B4-BE49-F238E27FC236}">
              <a16:creationId xmlns:a16="http://schemas.microsoft.com/office/drawing/2014/main" id="{11747AAB-BB61-48F5-A8EE-588B4633D55C}"/>
            </a:ext>
          </a:extLst>
        </xdr:cNvPr>
        <xdr:cNvSpPr/>
      </xdr:nvSpPr>
      <xdr:spPr>
        <a:xfrm>
          <a:off x="5588000" y="3492500"/>
          <a:ext cx="2330450" cy="45719"/>
        </a:xfrm>
        <a:prstGeom prst="rect">
          <a:avLst/>
        </a:prstGeom>
        <a:gradFill>
          <a:gsLst>
            <a:gs pos="0">
              <a:schemeClr val="tx1"/>
            </a:gs>
            <a:gs pos="64000">
              <a:srgbClr val="2A2A2A"/>
            </a:gs>
            <a:gs pos="33000">
              <a:srgbClr val="595959"/>
            </a:gs>
            <a:gs pos="93000">
              <a:srgbClr val="0D0D0D"/>
            </a:gs>
          </a:gsLst>
          <a:lin ang="0" scaled="0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373269</xdr:colOff>
      <xdr:row>4</xdr:row>
      <xdr:rowOff>141356</xdr:rowOff>
    </xdr:from>
    <xdr:to>
      <xdr:col>19</xdr:col>
      <xdr:colOff>38651</xdr:colOff>
      <xdr:row>32</xdr:row>
      <xdr:rowOff>103256</xdr:rowOff>
    </xdr:to>
    <xdr:grpSp>
      <xdr:nvGrpSpPr>
        <xdr:cNvPr id="47" name="Group 46">
          <a:extLst>
            <a:ext uri="{FF2B5EF4-FFF2-40B4-BE49-F238E27FC236}">
              <a16:creationId xmlns:a16="http://schemas.microsoft.com/office/drawing/2014/main" id="{8D3DD6F7-B76C-75A2-2688-399F242F1BB7}"/>
            </a:ext>
          </a:extLst>
        </xdr:cNvPr>
        <xdr:cNvGrpSpPr/>
      </xdr:nvGrpSpPr>
      <xdr:grpSpPr>
        <a:xfrm>
          <a:off x="8328087" y="880265"/>
          <a:ext cx="3336837" cy="5134264"/>
          <a:chOff x="768350" y="1873250"/>
          <a:chExt cx="4235450" cy="2419350"/>
        </a:xfrm>
      </xdr:grpSpPr>
      <xdr:sp macro="" textlink="">
        <xdr:nvSpPr>
          <xdr:cNvPr id="66" name="Rectangle: Rounded Corners 65">
            <a:extLst>
              <a:ext uri="{FF2B5EF4-FFF2-40B4-BE49-F238E27FC236}">
                <a16:creationId xmlns:a16="http://schemas.microsoft.com/office/drawing/2014/main" id="{C33D9084-B77C-E808-C197-B4BF862821FE}"/>
              </a:ext>
            </a:extLst>
          </xdr:cNvPr>
          <xdr:cNvSpPr/>
        </xdr:nvSpPr>
        <xdr:spPr>
          <a:xfrm>
            <a:off x="800100" y="1873250"/>
            <a:ext cx="4203700" cy="2400300"/>
          </a:xfrm>
          <a:prstGeom prst="roundRect">
            <a:avLst>
              <a:gd name="adj" fmla="val 5169"/>
            </a:avLst>
          </a:prstGeom>
          <a:solidFill>
            <a:schemeClr val="tx1">
              <a:lumMod val="65000"/>
              <a:lumOff val="3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sp macro="" textlink="">
        <xdr:nvSpPr>
          <xdr:cNvPr id="67" name="Rectangle: Rounded Corners 66">
            <a:extLst>
              <a:ext uri="{FF2B5EF4-FFF2-40B4-BE49-F238E27FC236}">
                <a16:creationId xmlns:a16="http://schemas.microsoft.com/office/drawing/2014/main" id="{8F1B8016-44D4-E7C0-3A5E-957BDEA349CE}"/>
              </a:ext>
            </a:extLst>
          </xdr:cNvPr>
          <xdr:cNvSpPr/>
        </xdr:nvSpPr>
        <xdr:spPr>
          <a:xfrm>
            <a:off x="768350" y="1892300"/>
            <a:ext cx="4203700" cy="2400300"/>
          </a:xfrm>
          <a:prstGeom prst="roundRect">
            <a:avLst>
              <a:gd name="adj" fmla="val 5169"/>
            </a:avLst>
          </a:prstGeom>
          <a:solidFill>
            <a:schemeClr val="tx1">
              <a:lumMod val="95000"/>
              <a:lumOff val="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</xdr:grpSp>
    <xdr:clientData/>
  </xdr:twoCellAnchor>
  <xdr:twoCellAnchor>
    <xdr:from>
      <xdr:col>16</xdr:col>
      <xdr:colOff>552176</xdr:colOff>
      <xdr:row>6</xdr:row>
      <xdr:rowOff>150191</xdr:rowOff>
    </xdr:from>
    <xdr:to>
      <xdr:col>19</xdr:col>
      <xdr:colOff>64468</xdr:colOff>
      <xdr:row>12</xdr:row>
      <xdr:rowOff>126999</xdr:rowOff>
    </xdr:to>
    <xdr:graphicFrame macro="">
      <xdr:nvGraphicFramePr>
        <xdr:cNvPr id="37" name="Chart 36">
          <a:extLst>
            <a:ext uri="{FF2B5EF4-FFF2-40B4-BE49-F238E27FC236}">
              <a16:creationId xmlns:a16="http://schemas.microsoft.com/office/drawing/2014/main" id="{49F2B887-3C26-4028-AA38-FABEEFF2DC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13</xdr:col>
      <xdr:colOff>411922</xdr:colOff>
      <xdr:row>6</xdr:row>
      <xdr:rowOff>131418</xdr:rowOff>
    </xdr:from>
    <xdr:to>
      <xdr:col>15</xdr:col>
      <xdr:colOff>531605</xdr:colOff>
      <xdr:row>12</xdr:row>
      <xdr:rowOff>108226</xdr:rowOff>
    </xdr:to>
    <xdr:graphicFrame macro="">
      <xdr:nvGraphicFramePr>
        <xdr:cNvPr id="68" name="Chart 67">
          <a:extLst>
            <a:ext uri="{FF2B5EF4-FFF2-40B4-BE49-F238E27FC236}">
              <a16:creationId xmlns:a16="http://schemas.microsoft.com/office/drawing/2014/main" id="{1A0C2C03-18A6-ADAC-3B28-E7586A61A8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15</xdr:col>
      <xdr:colOff>205409</xdr:colOff>
      <xdr:row>15</xdr:row>
      <xdr:rowOff>112642</xdr:rowOff>
    </xdr:from>
    <xdr:to>
      <xdr:col>17</xdr:col>
      <xdr:colOff>325093</xdr:colOff>
      <xdr:row>21</xdr:row>
      <xdr:rowOff>89451</xdr:rowOff>
    </xdr:to>
    <xdr:graphicFrame macro="">
      <xdr:nvGraphicFramePr>
        <xdr:cNvPr id="69" name="Chart 68">
          <a:extLst>
            <a:ext uri="{FF2B5EF4-FFF2-40B4-BE49-F238E27FC236}">
              <a16:creationId xmlns:a16="http://schemas.microsoft.com/office/drawing/2014/main" id="{B30DEA6D-A798-1832-8344-DE330F29B3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17</xdr:col>
      <xdr:colOff>364433</xdr:colOff>
      <xdr:row>8</xdr:row>
      <xdr:rowOff>154609</xdr:rowOff>
    </xdr:from>
    <xdr:to>
      <xdr:col>18</xdr:col>
      <xdr:colOff>347869</xdr:colOff>
      <xdr:row>10</xdr:row>
      <xdr:rowOff>143566</xdr:rowOff>
    </xdr:to>
    <xdr:sp macro="" textlink="'Analysis 1'!$BA$15">
      <xdr:nvSpPr>
        <xdr:cNvPr id="77" name="TextBox 76">
          <a:extLst>
            <a:ext uri="{FF2B5EF4-FFF2-40B4-BE49-F238E27FC236}">
              <a16:creationId xmlns:a16="http://schemas.microsoft.com/office/drawing/2014/main" id="{FB25F1B8-DC62-C3FC-ED43-65A07764A752}"/>
            </a:ext>
          </a:extLst>
        </xdr:cNvPr>
        <xdr:cNvSpPr txBox="1"/>
      </xdr:nvSpPr>
      <xdr:spPr>
        <a:xfrm>
          <a:off x="10690085" y="1612348"/>
          <a:ext cx="590827" cy="35339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E4937A2B-A64A-469D-964E-FBD00800FE7B}" type="TxLink">
            <a:rPr lang="en-US" sz="1600" b="1" i="0" u="none" strike="noStrike">
              <a:solidFill>
                <a:schemeClr val="accent1">
                  <a:lumMod val="40000"/>
                  <a:lumOff val="60000"/>
                </a:schemeClr>
              </a:solidFill>
              <a:latin typeface="Aptos Narrow"/>
            </a:rPr>
            <a:pPr/>
            <a:t>43%</a:t>
          </a:fld>
          <a:endParaRPr lang="en-IN" sz="1600" b="1">
            <a:solidFill>
              <a:schemeClr val="accent1">
                <a:lumMod val="40000"/>
                <a:lumOff val="60000"/>
              </a:schemeClr>
            </a:solidFill>
          </a:endParaRPr>
        </a:p>
      </xdr:txBody>
    </xdr:sp>
    <xdr:clientData/>
  </xdr:twoCellAnchor>
  <xdr:twoCellAnchor>
    <xdr:from>
      <xdr:col>14</xdr:col>
      <xdr:colOff>226391</xdr:colOff>
      <xdr:row>8</xdr:row>
      <xdr:rowOff>132522</xdr:rowOff>
    </xdr:from>
    <xdr:to>
      <xdr:col>15</xdr:col>
      <xdr:colOff>237434</xdr:colOff>
      <xdr:row>10</xdr:row>
      <xdr:rowOff>77304</xdr:rowOff>
    </xdr:to>
    <xdr:sp macro="" textlink="'Analysis 1'!$BA$16">
      <xdr:nvSpPr>
        <xdr:cNvPr id="78" name="TextBox 77">
          <a:extLst>
            <a:ext uri="{FF2B5EF4-FFF2-40B4-BE49-F238E27FC236}">
              <a16:creationId xmlns:a16="http://schemas.microsoft.com/office/drawing/2014/main" id="{B845629A-1279-4664-05EC-D14CC6563B87}"/>
            </a:ext>
          </a:extLst>
        </xdr:cNvPr>
        <xdr:cNvSpPr txBox="1"/>
      </xdr:nvSpPr>
      <xdr:spPr>
        <a:xfrm>
          <a:off x="8729869" y="1590261"/>
          <a:ext cx="618435" cy="3092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CD95DEE3-EFD4-49C7-92C2-F736E87D3F33}" type="TxLink">
            <a:rPr lang="en-US" sz="1600" b="1" i="0" u="none" strike="noStrike">
              <a:solidFill>
                <a:schemeClr val="accent6">
                  <a:lumMod val="40000"/>
                  <a:lumOff val="60000"/>
                </a:schemeClr>
              </a:solidFill>
              <a:latin typeface="Aptos Narrow"/>
            </a:rPr>
            <a:pPr/>
            <a:t>23%</a:t>
          </a:fld>
          <a:endParaRPr lang="en-IN" sz="1600" b="1">
            <a:solidFill>
              <a:schemeClr val="accent6">
                <a:lumMod val="40000"/>
                <a:lumOff val="60000"/>
              </a:schemeClr>
            </a:solidFill>
          </a:endParaRPr>
        </a:p>
      </xdr:txBody>
    </xdr:sp>
    <xdr:clientData/>
  </xdr:twoCellAnchor>
  <xdr:twoCellAnchor>
    <xdr:from>
      <xdr:col>16</xdr:col>
      <xdr:colOff>535609</xdr:colOff>
      <xdr:row>12</xdr:row>
      <xdr:rowOff>276</xdr:rowOff>
    </xdr:from>
    <xdr:to>
      <xdr:col>19</xdr:col>
      <xdr:colOff>5522</xdr:colOff>
      <xdr:row>13</xdr:row>
      <xdr:rowOff>131566</xdr:rowOff>
    </xdr:to>
    <xdr:sp macro="" textlink="'Analysis 1'!$AZ$15">
      <xdr:nvSpPr>
        <xdr:cNvPr id="79" name="TextBox 78">
          <a:extLst>
            <a:ext uri="{FF2B5EF4-FFF2-40B4-BE49-F238E27FC236}">
              <a16:creationId xmlns:a16="http://schemas.microsoft.com/office/drawing/2014/main" id="{1F994D53-B752-45E7-8ADE-DA140CFE5C1B}"/>
            </a:ext>
          </a:extLst>
        </xdr:cNvPr>
        <xdr:cNvSpPr txBox="1"/>
      </xdr:nvSpPr>
      <xdr:spPr>
        <a:xfrm>
          <a:off x="10253870" y="2186885"/>
          <a:ext cx="1292087" cy="31350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DACD2D48-7603-442C-BA18-88B21D412D25}" type="TxLink">
            <a:rPr lang="en-US" sz="1100" b="0" i="0" u="none" strike="noStrike">
              <a:solidFill>
                <a:schemeClr val="accent1">
                  <a:lumMod val="40000"/>
                  <a:lumOff val="60000"/>
                </a:schemeClr>
              </a:solidFill>
              <a:latin typeface="Aptos Narrow"/>
              <a:cs typeface="Arial" panose="020B0604020202020204" pitchFamily="34" charset="0"/>
            </a:rPr>
            <a:pPr algn="ctr"/>
            <a:t>Over-Utilized</a:t>
          </a:fld>
          <a:endParaRPr lang="en-IN" sz="1100" b="0">
            <a:solidFill>
              <a:schemeClr val="accent1">
                <a:lumMod val="40000"/>
                <a:lumOff val="60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13</xdr:col>
      <xdr:colOff>364435</xdr:colOff>
      <xdr:row>11</xdr:row>
      <xdr:rowOff>180285</xdr:rowOff>
    </xdr:from>
    <xdr:to>
      <xdr:col>16</xdr:col>
      <xdr:colOff>51648</xdr:colOff>
      <xdr:row>13</xdr:row>
      <xdr:rowOff>129357</xdr:rowOff>
    </xdr:to>
    <xdr:sp macro="" textlink="'Analysis 1'!$AZ$16">
      <xdr:nvSpPr>
        <xdr:cNvPr id="80" name="TextBox 79">
          <a:extLst>
            <a:ext uri="{FF2B5EF4-FFF2-40B4-BE49-F238E27FC236}">
              <a16:creationId xmlns:a16="http://schemas.microsoft.com/office/drawing/2014/main" id="{E5539EA4-8FE4-4070-ABC0-639C5032BCFE}"/>
            </a:ext>
          </a:extLst>
        </xdr:cNvPr>
        <xdr:cNvSpPr txBox="1"/>
      </xdr:nvSpPr>
      <xdr:spPr>
        <a:xfrm>
          <a:off x="8260522" y="2184676"/>
          <a:ext cx="1509387" cy="31350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8E7220BA-55C3-4CD2-9F08-DEF58C43D5A7}" type="TxLink">
            <a:rPr lang="en-US" sz="1100" b="0" i="0" u="none" strike="noStrike">
              <a:solidFill>
                <a:schemeClr val="accent3">
                  <a:lumMod val="40000"/>
                  <a:lumOff val="60000"/>
                </a:schemeClr>
              </a:solidFill>
              <a:latin typeface="Aptos Narrow"/>
              <a:cs typeface="Arial" panose="020B0604020202020204" pitchFamily="34" charset="0"/>
            </a:rPr>
            <a:pPr algn="ctr"/>
            <a:t>Under-Utilized</a:t>
          </a:fld>
          <a:endParaRPr lang="en-IN" sz="1100" b="0">
            <a:solidFill>
              <a:schemeClr val="accent3">
                <a:lumMod val="40000"/>
                <a:lumOff val="60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15</xdr:col>
      <xdr:colOff>295965</xdr:colOff>
      <xdr:row>20</xdr:row>
      <xdr:rowOff>136111</xdr:rowOff>
    </xdr:from>
    <xdr:to>
      <xdr:col>17</xdr:col>
      <xdr:colOff>373270</xdr:colOff>
      <xdr:row>22</xdr:row>
      <xdr:rowOff>85183</xdr:rowOff>
    </xdr:to>
    <xdr:sp macro="" textlink="'Analysis 1'!$AZ$17">
      <xdr:nvSpPr>
        <xdr:cNvPr id="81" name="TextBox 80">
          <a:extLst>
            <a:ext uri="{FF2B5EF4-FFF2-40B4-BE49-F238E27FC236}">
              <a16:creationId xmlns:a16="http://schemas.microsoft.com/office/drawing/2014/main" id="{BC164943-5DD7-44EB-A3E8-67D3006068C0}"/>
            </a:ext>
          </a:extLst>
        </xdr:cNvPr>
        <xdr:cNvSpPr txBox="1"/>
      </xdr:nvSpPr>
      <xdr:spPr>
        <a:xfrm>
          <a:off x="9406835" y="3780459"/>
          <a:ext cx="1292087" cy="31350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E18E102D-6AF5-4B9E-814B-16B694AA0F61}" type="TxLink">
            <a:rPr lang="en-US" sz="1100" b="0" i="0" u="none" strike="noStrike">
              <a:solidFill>
                <a:schemeClr val="tx2">
                  <a:lumMod val="25000"/>
                  <a:lumOff val="75000"/>
                </a:schemeClr>
              </a:solidFill>
              <a:latin typeface="Aptos Narrow"/>
              <a:cs typeface="Arial" panose="020B0604020202020204" pitchFamily="34" charset="0"/>
            </a:rPr>
            <a:pPr algn="ctr"/>
            <a:t>Well-Utilized</a:t>
          </a:fld>
          <a:endParaRPr lang="en-IN" sz="1100" b="0">
            <a:solidFill>
              <a:schemeClr val="tx2">
                <a:lumMod val="25000"/>
                <a:lumOff val="7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16</xdr:col>
      <xdr:colOff>544444</xdr:colOff>
      <xdr:row>13</xdr:row>
      <xdr:rowOff>9111</xdr:rowOff>
    </xdr:from>
    <xdr:to>
      <xdr:col>19</xdr:col>
      <xdr:colOff>14357</xdr:colOff>
      <xdr:row>14</xdr:row>
      <xdr:rowOff>140401</xdr:rowOff>
    </xdr:to>
    <xdr:sp macro="" textlink="'Analysis 1'!$BB$8">
      <xdr:nvSpPr>
        <xdr:cNvPr id="88" name="TextBox 87">
          <a:extLst>
            <a:ext uri="{FF2B5EF4-FFF2-40B4-BE49-F238E27FC236}">
              <a16:creationId xmlns:a16="http://schemas.microsoft.com/office/drawing/2014/main" id="{960BFCCD-376D-145E-9D5E-CCCF0E0D7B4F}"/>
            </a:ext>
          </a:extLst>
        </xdr:cNvPr>
        <xdr:cNvSpPr txBox="1"/>
      </xdr:nvSpPr>
      <xdr:spPr>
        <a:xfrm>
          <a:off x="10262705" y="2377937"/>
          <a:ext cx="1292087" cy="31350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20F1147E-0539-49F0-8197-A2FDF6BFFBC4}" type="TxLink">
            <a:rPr lang="en-US" sz="900" b="0" i="0" u="none" strike="noStrike">
              <a:solidFill>
                <a:schemeClr val="bg1"/>
              </a:solidFill>
              <a:latin typeface="Aptos Narrow"/>
              <a:ea typeface="+mn-ea"/>
              <a:cs typeface="Arial" panose="020B0604020202020204" pitchFamily="34" charset="0"/>
            </a:rPr>
            <a:pPr marL="0" indent="0" algn="ctr"/>
            <a:t>36 Total Buses</a:t>
          </a:fld>
          <a:endParaRPr lang="en-IN" sz="900" b="0" i="0" u="none" strike="noStrike">
            <a:solidFill>
              <a:schemeClr val="bg1"/>
            </a:solidFill>
            <a:latin typeface="Aptos Narrow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13</xdr:col>
      <xdr:colOff>373270</xdr:colOff>
      <xdr:row>13</xdr:row>
      <xdr:rowOff>6902</xdr:rowOff>
    </xdr:from>
    <xdr:to>
      <xdr:col>16</xdr:col>
      <xdr:colOff>60483</xdr:colOff>
      <xdr:row>14</xdr:row>
      <xdr:rowOff>138192</xdr:rowOff>
    </xdr:to>
    <xdr:sp macro="" textlink="'Analysis 1'!BB9">
      <xdr:nvSpPr>
        <xdr:cNvPr id="89" name="TextBox 88">
          <a:extLst>
            <a:ext uri="{FF2B5EF4-FFF2-40B4-BE49-F238E27FC236}">
              <a16:creationId xmlns:a16="http://schemas.microsoft.com/office/drawing/2014/main" id="{EA67566B-A53A-D4FB-4876-48625D92B8AC}"/>
            </a:ext>
          </a:extLst>
        </xdr:cNvPr>
        <xdr:cNvSpPr txBox="1"/>
      </xdr:nvSpPr>
      <xdr:spPr>
        <a:xfrm>
          <a:off x="8269357" y="2375728"/>
          <a:ext cx="1509387" cy="31350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8F1131E2-9BB1-47F7-BF65-03FC34F3DFF7}" type="TxLink">
            <a:rPr lang="en-US" sz="900" b="0" i="0" u="none" strike="noStrike">
              <a:solidFill>
                <a:schemeClr val="bg1"/>
              </a:solidFill>
              <a:latin typeface="Aptos Narrow"/>
              <a:ea typeface="+mn-ea"/>
              <a:cs typeface="Arial" panose="020B0604020202020204" pitchFamily="34" charset="0"/>
            </a:rPr>
            <a:pPr marL="0" indent="0" algn="ctr"/>
            <a:t>19 Total Buses</a:t>
          </a:fld>
          <a:endParaRPr lang="en-IN" sz="900" b="0" i="0" u="none" strike="noStrike">
            <a:solidFill>
              <a:schemeClr val="bg1"/>
            </a:solidFill>
            <a:latin typeface="Aptos Narrow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15</xdr:col>
      <xdr:colOff>304800</xdr:colOff>
      <xdr:row>21</xdr:row>
      <xdr:rowOff>144946</xdr:rowOff>
    </xdr:from>
    <xdr:to>
      <xdr:col>17</xdr:col>
      <xdr:colOff>382105</xdr:colOff>
      <xdr:row>23</xdr:row>
      <xdr:rowOff>94018</xdr:rowOff>
    </xdr:to>
    <xdr:sp macro="" textlink="'Analysis 1'!BB10">
      <xdr:nvSpPr>
        <xdr:cNvPr id="90" name="TextBox 89">
          <a:extLst>
            <a:ext uri="{FF2B5EF4-FFF2-40B4-BE49-F238E27FC236}">
              <a16:creationId xmlns:a16="http://schemas.microsoft.com/office/drawing/2014/main" id="{17835A49-E58A-EC11-A8EB-440E315AA4E0}"/>
            </a:ext>
          </a:extLst>
        </xdr:cNvPr>
        <xdr:cNvSpPr txBox="1"/>
      </xdr:nvSpPr>
      <xdr:spPr>
        <a:xfrm>
          <a:off x="9415670" y="3971511"/>
          <a:ext cx="1292087" cy="31350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F0E6EB6B-7340-43CD-B690-8BDFCB78CA61}" type="TxLink">
            <a:rPr lang="en-US" sz="900" b="0" i="0" u="none" strike="noStrike">
              <a:solidFill>
                <a:schemeClr val="bg1"/>
              </a:solidFill>
              <a:latin typeface="Aptos Narrow"/>
              <a:cs typeface="Arial" panose="020B0604020202020204" pitchFamily="34" charset="0"/>
            </a:rPr>
            <a:pPr algn="ctr"/>
            <a:t>29 Total Buses</a:t>
          </a:fld>
          <a:endParaRPr lang="en-IN" sz="900" b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13</xdr:col>
      <xdr:colOff>510485</xdr:colOff>
      <xdr:row>5</xdr:row>
      <xdr:rowOff>48315</xdr:rowOff>
    </xdr:from>
    <xdr:to>
      <xdr:col>16</xdr:col>
      <xdr:colOff>496956</xdr:colOff>
      <xdr:row>6</xdr:row>
      <xdr:rowOff>179733</xdr:rowOff>
    </xdr:to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1F7236E6-82D6-4F15-9679-1C780CB74186}"/>
            </a:ext>
          </a:extLst>
        </xdr:cNvPr>
        <xdr:cNvSpPr txBox="1"/>
      </xdr:nvSpPr>
      <xdr:spPr>
        <a:xfrm>
          <a:off x="8406572" y="959402"/>
          <a:ext cx="1808645" cy="3136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1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Buse</a:t>
          </a:r>
          <a:r>
            <a:rPr lang="en-IN" sz="1100" b="0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Utilization Rate</a:t>
          </a:r>
          <a:endParaRPr lang="en-IN" sz="1100" b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13</xdr:col>
      <xdr:colOff>523737</xdr:colOff>
      <xdr:row>5</xdr:row>
      <xdr:rowOff>150743</xdr:rowOff>
    </xdr:from>
    <xdr:to>
      <xdr:col>14</xdr:col>
      <xdr:colOff>36996</xdr:colOff>
      <xdr:row>6</xdr:row>
      <xdr:rowOff>82826</xdr:rowOff>
    </xdr:to>
    <xdr:sp macro="" textlink="">
      <xdr:nvSpPr>
        <xdr:cNvPr id="92" name="Flowchart: Connector 91">
          <a:extLst>
            <a:ext uri="{FF2B5EF4-FFF2-40B4-BE49-F238E27FC236}">
              <a16:creationId xmlns:a16="http://schemas.microsoft.com/office/drawing/2014/main" id="{3666D9D9-D28C-4AF5-B5EF-CEC9CA13652A}"/>
            </a:ext>
          </a:extLst>
        </xdr:cNvPr>
        <xdr:cNvSpPr/>
      </xdr:nvSpPr>
      <xdr:spPr>
        <a:xfrm>
          <a:off x="8419824" y="1061830"/>
          <a:ext cx="120650" cy="114300"/>
        </a:xfrm>
        <a:prstGeom prst="flowChartConnector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IN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508277</xdr:colOff>
      <xdr:row>23</xdr:row>
      <xdr:rowOff>162063</xdr:rowOff>
    </xdr:from>
    <xdr:to>
      <xdr:col>18</xdr:col>
      <xdr:colOff>182218</xdr:colOff>
      <xdr:row>25</xdr:row>
      <xdr:rowOff>111263</xdr:rowOff>
    </xdr:to>
    <xdr:grpSp>
      <xdr:nvGrpSpPr>
        <xdr:cNvPr id="95" name="Group 94">
          <a:extLst>
            <a:ext uri="{FF2B5EF4-FFF2-40B4-BE49-F238E27FC236}">
              <a16:creationId xmlns:a16="http://schemas.microsoft.com/office/drawing/2014/main" id="{E7D09460-8686-9DEA-B8CE-A839D6B4C09A}"/>
            </a:ext>
          </a:extLst>
        </xdr:cNvPr>
        <xdr:cNvGrpSpPr/>
      </xdr:nvGrpSpPr>
      <xdr:grpSpPr>
        <a:xfrm>
          <a:off x="8463095" y="4410790"/>
          <a:ext cx="2733487" cy="318655"/>
          <a:chOff x="8415407" y="4237106"/>
          <a:chExt cx="2710897" cy="313635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CDC6BFA9-F4AB-322D-AD3D-17A27C71D590}"/>
              </a:ext>
            </a:extLst>
          </xdr:cNvPr>
          <xdr:cNvSpPr txBox="1"/>
        </xdr:nvSpPr>
        <xdr:spPr>
          <a:xfrm>
            <a:off x="8415407" y="4237106"/>
            <a:ext cx="2710897" cy="31363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IN" sz="1100" b="0">
                <a:solidFill>
                  <a:schemeClr val="bg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Total</a:t>
            </a:r>
            <a:r>
              <a:rPr lang="en-IN" sz="1100" b="0" baseline="0">
                <a:solidFill>
                  <a:schemeClr val="bg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Riders base on Moment of trip</a:t>
            </a:r>
            <a:endParaRPr lang="en-IN" sz="11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94" name="Flowchart: Connector 93">
            <a:extLst>
              <a:ext uri="{FF2B5EF4-FFF2-40B4-BE49-F238E27FC236}">
                <a16:creationId xmlns:a16="http://schemas.microsoft.com/office/drawing/2014/main" id="{9E79A9D7-C490-4C76-FF24-4C08F1722320}"/>
              </a:ext>
            </a:extLst>
          </xdr:cNvPr>
          <xdr:cNvSpPr/>
        </xdr:nvSpPr>
        <xdr:spPr>
          <a:xfrm>
            <a:off x="8434180" y="4334013"/>
            <a:ext cx="120650" cy="114300"/>
          </a:xfrm>
          <a:prstGeom prst="flowChartConnector">
            <a:avLst/>
          </a:prstGeom>
          <a:solidFill>
            <a:schemeClr val="tx1">
              <a:lumMod val="65000"/>
              <a:lumOff val="3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l"/>
            <a:endParaRPr lang="en-IN" sz="11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</xdr:grpSp>
    <xdr:clientData/>
  </xdr:twoCellAnchor>
  <xdr:twoCellAnchor>
    <xdr:from>
      <xdr:col>13</xdr:col>
      <xdr:colOff>397565</xdr:colOff>
      <xdr:row>23</xdr:row>
      <xdr:rowOff>92763</xdr:rowOff>
    </xdr:from>
    <xdr:to>
      <xdr:col>19</xdr:col>
      <xdr:colOff>5522</xdr:colOff>
      <xdr:row>23</xdr:row>
      <xdr:rowOff>138482</xdr:rowOff>
    </xdr:to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9F70A83D-9BE0-2670-EAD3-9BE81B624D7A}"/>
            </a:ext>
          </a:extLst>
        </xdr:cNvPr>
        <xdr:cNvSpPr/>
      </xdr:nvSpPr>
      <xdr:spPr>
        <a:xfrm>
          <a:off x="8293652" y="4283763"/>
          <a:ext cx="3252305" cy="45719"/>
        </a:xfrm>
        <a:prstGeom prst="rect">
          <a:avLst/>
        </a:prstGeom>
        <a:gradFill>
          <a:gsLst>
            <a:gs pos="0">
              <a:schemeClr val="tx1"/>
            </a:gs>
            <a:gs pos="64000">
              <a:srgbClr val="2A2A2A"/>
            </a:gs>
            <a:gs pos="33000">
              <a:srgbClr val="595959"/>
            </a:gs>
            <a:gs pos="93000">
              <a:srgbClr val="0D0D0D"/>
            </a:gs>
          </a:gsLst>
          <a:lin ang="0" scaled="0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77306</xdr:colOff>
      <xdr:row>26</xdr:row>
      <xdr:rowOff>11046</xdr:rowOff>
    </xdr:from>
    <xdr:to>
      <xdr:col>14</xdr:col>
      <xdr:colOff>480392</xdr:colOff>
      <xdr:row>28</xdr:row>
      <xdr:rowOff>38653</xdr:rowOff>
    </xdr:to>
    <xdr:sp macro="" textlink="">
      <xdr:nvSpPr>
        <xdr:cNvPr id="97" name="Rectangle: Rounded Corners 96">
          <a:extLst>
            <a:ext uri="{FF2B5EF4-FFF2-40B4-BE49-F238E27FC236}">
              <a16:creationId xmlns:a16="http://schemas.microsoft.com/office/drawing/2014/main" id="{CEBCD5D1-5BD3-EC3D-088D-92E9025971E5}"/>
            </a:ext>
          </a:extLst>
        </xdr:cNvPr>
        <xdr:cNvSpPr/>
      </xdr:nvSpPr>
      <xdr:spPr>
        <a:xfrm>
          <a:off x="8580784" y="4748698"/>
          <a:ext cx="403086" cy="392042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75097</xdr:colOff>
      <xdr:row>29</xdr:row>
      <xdr:rowOff>36446</xdr:rowOff>
    </xdr:from>
    <xdr:to>
      <xdr:col>14</xdr:col>
      <xdr:colOff>478183</xdr:colOff>
      <xdr:row>31</xdr:row>
      <xdr:rowOff>64053</xdr:rowOff>
    </xdr:to>
    <xdr:sp macro="" textlink="">
      <xdr:nvSpPr>
        <xdr:cNvPr id="98" name="Rectangle: Rounded Corners 97">
          <a:extLst>
            <a:ext uri="{FF2B5EF4-FFF2-40B4-BE49-F238E27FC236}">
              <a16:creationId xmlns:a16="http://schemas.microsoft.com/office/drawing/2014/main" id="{32873930-EF7D-E694-322A-43CCB6DEA004}"/>
            </a:ext>
          </a:extLst>
        </xdr:cNvPr>
        <xdr:cNvSpPr/>
      </xdr:nvSpPr>
      <xdr:spPr>
        <a:xfrm>
          <a:off x="8578575" y="5320750"/>
          <a:ext cx="403086" cy="392042"/>
        </a:xfrm>
        <a:prstGeom prst="roundRect">
          <a:avLst/>
        </a:prstGeom>
        <a:solidFill>
          <a:schemeClr val="accent3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14</xdr:col>
      <xdr:colOff>138596</xdr:colOff>
      <xdr:row>26</xdr:row>
      <xdr:rowOff>64246</xdr:rowOff>
    </xdr:from>
    <xdr:to>
      <xdr:col>14</xdr:col>
      <xdr:colOff>414131</xdr:colOff>
      <xdr:row>27</xdr:row>
      <xdr:rowOff>155988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54773842-E299-90CB-50E8-9585BD99F0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42074" y="4801898"/>
          <a:ext cx="275535" cy="273960"/>
        </a:xfrm>
        <a:prstGeom prst="rect">
          <a:avLst/>
        </a:prstGeom>
      </xdr:spPr>
    </xdr:pic>
    <xdr:clientData/>
  </xdr:twoCellAnchor>
  <xdr:twoCellAnchor editAs="oneCell">
    <xdr:from>
      <xdr:col>14</xdr:col>
      <xdr:colOff>144393</xdr:colOff>
      <xdr:row>29</xdr:row>
      <xdr:rowOff>66261</xdr:rowOff>
    </xdr:from>
    <xdr:to>
      <xdr:col>14</xdr:col>
      <xdr:colOff>436841</xdr:colOff>
      <xdr:row>31</xdr:row>
      <xdr:rowOff>16565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18BF24C0-5BDC-B943-D166-A63FD55653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47871" y="5350565"/>
          <a:ext cx="292448" cy="314739"/>
        </a:xfrm>
        <a:prstGeom prst="rect">
          <a:avLst/>
        </a:prstGeom>
      </xdr:spPr>
    </xdr:pic>
    <xdr:clientData/>
  </xdr:twoCellAnchor>
  <xdr:twoCellAnchor>
    <xdr:from>
      <xdr:col>14</xdr:col>
      <xdr:colOff>480393</xdr:colOff>
      <xdr:row>25</xdr:row>
      <xdr:rowOff>95802</xdr:rowOff>
    </xdr:from>
    <xdr:to>
      <xdr:col>17</xdr:col>
      <xdr:colOff>5522</xdr:colOff>
      <xdr:row>27</xdr:row>
      <xdr:rowOff>45002</xdr:rowOff>
    </xdr:to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7621FF0B-B0C4-C670-126E-45068924F64A}"/>
            </a:ext>
          </a:extLst>
        </xdr:cNvPr>
        <xdr:cNvSpPr txBox="1"/>
      </xdr:nvSpPr>
      <xdr:spPr>
        <a:xfrm>
          <a:off x="8983871" y="4651237"/>
          <a:ext cx="1347303" cy="3136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9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Total</a:t>
          </a:r>
          <a:r>
            <a:rPr lang="en-IN" sz="900" b="0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Riders by </a:t>
          </a:r>
          <a:r>
            <a:rPr lang="en-IN" sz="900" b="1" baseline="0">
              <a:solidFill>
                <a:schemeClr val="accent1">
                  <a:lumMod val="40000"/>
                  <a:lumOff val="6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AM</a:t>
          </a:r>
          <a:endParaRPr lang="en-IN" sz="900" b="1">
            <a:solidFill>
              <a:schemeClr val="accent1">
                <a:lumMod val="40000"/>
                <a:lumOff val="60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14</xdr:col>
      <xdr:colOff>478184</xdr:colOff>
      <xdr:row>28</xdr:row>
      <xdr:rowOff>137767</xdr:rowOff>
    </xdr:from>
    <xdr:to>
      <xdr:col>17</xdr:col>
      <xdr:colOff>3313</xdr:colOff>
      <xdr:row>30</xdr:row>
      <xdr:rowOff>86967</xdr:rowOff>
    </xdr:to>
    <xdr:sp macro="" textlink="">
      <xdr:nvSpPr>
        <xdr:cNvPr id="102" name="TextBox 101">
          <a:extLst>
            <a:ext uri="{FF2B5EF4-FFF2-40B4-BE49-F238E27FC236}">
              <a16:creationId xmlns:a16="http://schemas.microsoft.com/office/drawing/2014/main" id="{C826C8F5-3FD0-95E0-97D5-EDCAE97E950A}"/>
            </a:ext>
          </a:extLst>
        </xdr:cNvPr>
        <xdr:cNvSpPr txBox="1"/>
      </xdr:nvSpPr>
      <xdr:spPr>
        <a:xfrm>
          <a:off x="8981662" y="5239854"/>
          <a:ext cx="1347303" cy="3136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9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Total</a:t>
          </a:r>
          <a:r>
            <a:rPr lang="en-IN" sz="900" b="0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Riders by </a:t>
          </a:r>
          <a:r>
            <a:rPr lang="en-IN" sz="900" b="1" baseline="0">
              <a:solidFill>
                <a:schemeClr val="accent6">
                  <a:lumMod val="40000"/>
                  <a:lumOff val="6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PM</a:t>
          </a:r>
          <a:endParaRPr lang="en-IN" sz="900" b="1">
            <a:solidFill>
              <a:schemeClr val="accent6">
                <a:lumMod val="40000"/>
                <a:lumOff val="60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15</xdr:col>
      <xdr:colOff>66259</xdr:colOff>
      <xdr:row>26</xdr:row>
      <xdr:rowOff>121202</xdr:rowOff>
    </xdr:from>
    <xdr:to>
      <xdr:col>16</xdr:col>
      <xdr:colOff>226391</xdr:colOff>
      <xdr:row>28</xdr:row>
      <xdr:rowOff>70402</xdr:rowOff>
    </xdr:to>
    <xdr:sp macro="" textlink="'Analysis 1'!$BG$8">
      <xdr:nvSpPr>
        <xdr:cNvPr id="103" name="TextBox 102">
          <a:extLst>
            <a:ext uri="{FF2B5EF4-FFF2-40B4-BE49-F238E27FC236}">
              <a16:creationId xmlns:a16="http://schemas.microsoft.com/office/drawing/2014/main" id="{B1FAF61D-96AF-C793-23C7-9D46D85DF677}"/>
            </a:ext>
          </a:extLst>
        </xdr:cNvPr>
        <xdr:cNvSpPr txBox="1"/>
      </xdr:nvSpPr>
      <xdr:spPr>
        <a:xfrm>
          <a:off x="9177129" y="4858854"/>
          <a:ext cx="767523" cy="3136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89EE8DC0-AC0B-4828-8558-8B73FEA9E68A}" type="TxLink">
            <a:rPr lang="en-US" sz="1200" b="1" i="0" u="none" strike="noStrike">
              <a:solidFill>
                <a:schemeClr val="accent4">
                  <a:lumMod val="40000"/>
                  <a:lumOff val="60000"/>
                </a:schemeClr>
              </a:solidFill>
              <a:latin typeface="Aptos Narrow"/>
              <a:cs typeface="Arial" panose="020B0604020202020204" pitchFamily="34" charset="0"/>
            </a:rPr>
            <a:pPr algn="ctr"/>
            <a:t>35.4%</a:t>
          </a:fld>
          <a:endParaRPr lang="en-IN" sz="1000" b="1">
            <a:solidFill>
              <a:schemeClr val="accent4">
                <a:lumMod val="40000"/>
                <a:lumOff val="60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15</xdr:col>
      <xdr:colOff>77303</xdr:colOff>
      <xdr:row>29</xdr:row>
      <xdr:rowOff>157646</xdr:rowOff>
    </xdr:from>
    <xdr:to>
      <xdr:col>16</xdr:col>
      <xdr:colOff>231913</xdr:colOff>
      <xdr:row>31</xdr:row>
      <xdr:rowOff>106846</xdr:rowOff>
    </xdr:to>
    <xdr:sp macro="" textlink="'Analysis 1'!$BG$9">
      <xdr:nvSpPr>
        <xdr:cNvPr id="104" name="TextBox 103">
          <a:extLst>
            <a:ext uri="{FF2B5EF4-FFF2-40B4-BE49-F238E27FC236}">
              <a16:creationId xmlns:a16="http://schemas.microsoft.com/office/drawing/2014/main" id="{5F586DAE-F0D9-0403-3473-506DEDE57EB6}"/>
            </a:ext>
          </a:extLst>
        </xdr:cNvPr>
        <xdr:cNvSpPr txBox="1"/>
      </xdr:nvSpPr>
      <xdr:spPr>
        <a:xfrm>
          <a:off x="9188173" y="5441950"/>
          <a:ext cx="762001" cy="3136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1C8AA7F7-F315-42CB-8D84-2830A0876B72}" type="TxLink">
            <a:rPr lang="en-US" sz="1200" b="1" i="0" u="none" strike="noStrike">
              <a:solidFill>
                <a:schemeClr val="accent6">
                  <a:lumMod val="40000"/>
                  <a:lumOff val="60000"/>
                </a:schemeClr>
              </a:solidFill>
              <a:latin typeface="Aptos Narrow"/>
              <a:cs typeface="Arial" panose="020B0604020202020204" pitchFamily="34" charset="0"/>
            </a:rPr>
            <a:pPr algn="ctr"/>
            <a:t>64.6%</a:t>
          </a:fld>
          <a:endParaRPr lang="en-IN" sz="1000" b="1">
            <a:solidFill>
              <a:schemeClr val="accent6">
                <a:lumMod val="40000"/>
                <a:lumOff val="60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0.33019</cdr:x>
      <cdr:y>0.30753</cdr:y>
    </cdr:from>
    <cdr:to>
      <cdr:x>0.78535</cdr:x>
      <cdr:y>0.57585</cdr:y>
    </cdr:to>
    <cdr:sp macro="" textlink="'Analysis 1'!$BA$17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113B9762-4623-37C0-E3C0-88385D4FDDDE}"/>
            </a:ext>
          </a:extLst>
        </cdr:cNvPr>
        <cdr:cNvSpPr txBox="1"/>
      </cdr:nvSpPr>
      <cdr:spPr>
        <a:xfrm xmlns:a="http://schemas.openxmlformats.org/drawingml/2006/main">
          <a:off x="440634" y="329096"/>
          <a:ext cx="607391" cy="28713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fld id="{87174C27-6150-4208-82B5-1FAD5F63BE6E}" type="TxLink">
            <a:rPr lang="en-US" sz="1600" b="1" i="0" u="none" strike="noStrike" kern="1200">
              <a:solidFill>
                <a:schemeClr val="tx2">
                  <a:lumMod val="25000"/>
                  <a:lumOff val="75000"/>
                </a:schemeClr>
              </a:solidFill>
              <a:latin typeface="Aptos Narrow"/>
            </a:rPr>
            <a:pPr/>
            <a:t>35%</a:t>
          </a:fld>
          <a:endParaRPr lang="en-IN" sz="1600" b="1" kern="1200">
            <a:solidFill>
              <a:schemeClr val="tx2">
                <a:lumMod val="25000"/>
                <a:lumOff val="75000"/>
              </a:schemeClr>
            </a:solidFill>
          </a:endParaRPr>
        </a:p>
      </cdr:txBody>
    </cdr:sp>
  </cdr:relSizeAnchor>
</c:userShape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atyajeet Sahoo" refreshedDate="45970.479224074072" createdVersion="8" refreshedVersion="8" minRefreshableVersion="3" recordCount="0" supportSubquery="1" supportAdvancedDrill="1" xr:uid="{CF609849-6107-468C-9AE0-2B6EC14A211D}">
  <cacheSource type="external" connectionId="7"/>
  <cacheFields count="5">
    <cacheField name="[Measures].[Total Riders(Passengers)]" caption="Total Riders(Passengers)" numFmtId="0" hierarchy="47" level="32767"/>
    <cacheField name="[Dim_routes].[RouteName].[RouteName]" caption="RouteName" numFmtId="0" hierarchy="18" level="1">
      <sharedItems count="1">
        <s v="East-West Express"/>
      </sharedItems>
    </cacheField>
    <cacheField name="[Facttable_ridership].[Time Group].[Time Group]" caption="Time Group" numFmtId="0" hierarchy="29" level="1">
      <sharedItems count="6">
        <s v="12:00 PM - 3:00 PM"/>
        <s v="3:00 PM - 6:00 PM"/>
        <s v="6:00 AM - 9:00 AM"/>
        <s v="6:00 PM - 9:00 PM"/>
        <s v="9:00 AM - 12:00 PM"/>
        <s v="9:00 PM - 12:00 AM"/>
      </sharedItems>
    </cacheField>
    <cacheField name="[Facttable_ridership].[Time].[Time]" caption="Time" numFmtId="0" hierarchy="27" level="1">
      <sharedItems containsSemiMixedTypes="0" containsNonDate="0" containsDate="1" containsString="0" minDate="1899-12-30T12:34:00" maxDate="1899-12-30T12:34:00" count="1">
        <d v="1899-12-30T12:34:00"/>
      </sharedItems>
      <extLst>
        <ext xmlns:x15="http://schemas.microsoft.com/office/spreadsheetml/2010/11/main" uri="{4F2E5C28-24EA-4eb8-9CBF-B6C8F9C3D259}">
          <x15:cachedUniqueNames>
            <x15:cachedUniqueName index="0" name="[Facttable_ridership].[Time].&amp;[1899-12-30T12:34:00]"/>
          </x15:cachedUniqueNames>
        </ext>
      </extLst>
    </cacheField>
    <cacheField name="[Dim_DateTable].[Day Name].[Day Name]" caption="Day Name" numFmtId="0" hierarchy="9" level="1">
      <sharedItems count="7">
        <s v="Sun"/>
        <s v="Mon"/>
        <s v="Tue"/>
        <s v="Wed"/>
        <s v="Thu"/>
        <s v="Fri"/>
        <s v="Sat"/>
      </sharedItems>
    </cacheField>
  </cacheFields>
  <cacheHierarchies count="57">
    <cacheHierarchy uniqueName="[Calculations].[Calculation]" caption="Calculation" attribute="1" defaultMemberUniqueName="[Calculations].[Calculation].[All]" allUniqueName="[Calculations].[Calculation].[All]" dimensionUniqueName="[Calculations]" displayFolder="" count="0" memberValueDatatype="20" unbalanced="0"/>
    <cacheHierarchy uniqueName="[Dim_buses].[BusID]" caption="BusID" attribute="1" defaultMemberUniqueName="[Dim_buses].[BusID].[All]" allUniqueName="[Dim_buses].[BusID].[All]" dimensionUniqueName="[Dim_buses]" displayFolder="" count="0" memberValueDatatype="20" unbalanced="0"/>
    <cacheHierarchy uniqueName="[Dim_buses].[RouteID]" caption="RouteID" attribute="1" defaultMemberUniqueName="[Dim_buses].[RouteID].[All]" allUniqueName="[Dim_buses].[RouteID].[All]" dimensionUniqueName="[Dim_buses]" displayFolder="" count="0" memberValueDatatype="20" unbalanced="0"/>
    <cacheHierarchy uniqueName="[Dim_buses].[BusNumber]" caption="BusNumber" attribute="1" defaultMemberUniqueName="[Dim_buses].[BusNumber].[All]" allUniqueName="[Dim_buses].[BusNumber].[All]" dimensionUniqueName="[Dim_buses]" displayFolder="" count="0" memberValueDatatype="130" unbalanced="0"/>
    <cacheHierarchy uniqueName="[Dim_buses].[Capacity]" caption="Capacity" attribute="1" defaultMemberUniqueName="[Dim_buses].[Capacity].[All]" allUniqueName="[Dim_buses].[Capacity].[All]" dimensionUniqueName="[Dim_buses]" displayFolder="" count="0" memberValueDatatype="20" unbalanced="0"/>
    <cacheHierarchy uniqueName="[Dim_DateTable].[Date]" caption="Date" attribute="1" time="1" defaultMemberUniqueName="[Dim_DateTable].[Date].[All]" allUniqueName="[Dim_DateTable].[Date].[All]" dimensionUniqueName="[Dim_DateTable]" displayFolder="" count="0" memberValueDatatype="7" unbalanced="0"/>
    <cacheHierarchy uniqueName="[Dim_DateTable].[Year]" caption="Year" attribute="1" defaultMemberUniqueName="[Dim_DateTable].[Year].[All]" allUniqueName="[Dim_DateTable].[Year].[All]" dimensionUniqueName="[Dim_DateTable]" displayFolder="" count="0" memberValueDatatype="20" unbalanced="0"/>
    <cacheHierarchy uniqueName="[Dim_DateTable].[Month Name]" caption="Month Name" attribute="1" defaultMemberUniqueName="[Dim_DateTable].[Month Name].[All]" allUniqueName="[Dim_DateTable].[Month Name].[All]" dimensionUniqueName="[Dim_DateTable]" displayFolder="" count="0" memberValueDatatype="130" unbalanced="0"/>
    <cacheHierarchy uniqueName="[Dim_DateTable].[Month Number]" caption="Month Number" attribute="1" defaultMemberUniqueName="[Dim_DateTable].[Month Number].[All]" allUniqueName="[Dim_DateTable].[Month Number].[All]" dimensionUniqueName="[Dim_DateTable]" displayFolder="" count="0" memberValueDatatype="20" unbalanced="0"/>
    <cacheHierarchy uniqueName="[Dim_DateTable].[Day Name]" caption="Day Name" attribute="1" defaultMemberUniqueName="[Dim_DateTable].[Day Name].[All]" allUniqueName="[Dim_DateTable].[Day Name].[All]" dimensionUniqueName="[Dim_DateTable]" displayFolder="" count="2" memberValueDatatype="130" unbalanced="0">
      <fieldsUsage count="2">
        <fieldUsage x="-1"/>
        <fieldUsage x="4"/>
      </fieldsUsage>
    </cacheHierarchy>
    <cacheHierarchy uniqueName="[Dim_DateTable].[Week Number]" caption="Week Number" attribute="1" defaultMemberUniqueName="[Dim_DateTable].[Week Number].[All]" allUniqueName="[Dim_DateTable].[Week Number].[All]" dimensionUniqueName="[Dim_DateTable]" displayFolder="" count="0" memberValueDatatype="20" unbalanced="0"/>
    <cacheHierarchy uniqueName="[Dim_DateTable].[Week Type]" caption="Week Type" attribute="1" defaultMemberUniqueName="[Dim_DateTable].[Week Type].[All]" allUniqueName="[Dim_DateTable].[Week Type].[All]" dimensionUniqueName="[Dim_DateTable]" displayFolder="" count="0" memberValueDatatype="130" unbalanced="0"/>
    <cacheHierarchy uniqueName="[Dim_demographics].[RiderID]" caption="RiderID" attribute="1" defaultMemberUniqueName="[Dim_demographics].[RiderID].[All]" allUniqueName="[Dim_demographics].[RiderID].[All]" dimensionUniqueName="[Dim_demographics]" displayFolder="" count="0" memberValueDatatype="20" unbalanced="0"/>
    <cacheHierarchy uniqueName="[Dim_demographics].[Age]" caption="Age" attribute="1" defaultMemberUniqueName="[Dim_demographics].[Age].[All]" allUniqueName="[Dim_demographics].[Age].[All]" dimensionUniqueName="[Dim_demographics]" displayFolder="" count="0" memberValueDatatype="20" unbalanced="0"/>
    <cacheHierarchy uniqueName="[Dim_demographics].[Age Bucket]" caption="Age Bucket" attribute="1" defaultMemberUniqueName="[Dim_demographics].[Age Bucket].[All]" allUniqueName="[Dim_demographics].[Age Bucket].[All]" dimensionUniqueName="[Dim_demographics]" displayFolder="" count="0" memberValueDatatype="130" unbalanced="0"/>
    <cacheHierarchy uniqueName="[Dim_demographics].[Gender]" caption="Gender" attribute="1" defaultMemberUniqueName="[Dim_demographics].[Gender].[All]" allUniqueName="[Dim_demographics].[Gender].[All]" dimensionUniqueName="[Dim_demographics]" displayFolder="" count="0" memberValueDatatype="130" unbalanced="0"/>
    <cacheHierarchy uniqueName="[Dim_demographics].[Occupation]" caption="Occupation" attribute="1" defaultMemberUniqueName="[Dim_demographics].[Occupation].[All]" allUniqueName="[Dim_demographics].[Occupation].[All]" dimensionUniqueName="[Dim_demographics]" displayFolder="" count="0" memberValueDatatype="130" unbalanced="0"/>
    <cacheHierarchy uniqueName="[Dim_routes].[RouteID]" caption="RouteID" attribute="1" defaultMemberUniqueName="[Dim_routes].[RouteID].[All]" allUniqueName="[Dim_routes].[RouteID].[All]" dimensionUniqueName="[Dim_routes]" displayFolder="" count="0" memberValueDatatype="20" unbalanced="0"/>
    <cacheHierarchy uniqueName="[Dim_routes].[RouteName]" caption="RouteName" attribute="1" defaultMemberUniqueName="[Dim_routes].[RouteName].[All]" allUniqueName="[Dim_routes].[RouteName].[All]" dimensionUniqueName="[Dim_routes]" displayFolder="" count="2" memberValueDatatype="130" unbalanced="0">
      <fieldsUsage count="2">
        <fieldUsage x="-1"/>
        <fieldUsage x="1"/>
      </fieldsUsage>
    </cacheHierarchy>
    <cacheHierarchy uniqueName="[Dim_routes].[StartLocation]" caption="StartLocation" attribute="1" defaultMemberUniqueName="[Dim_routes].[StartLocation].[All]" allUniqueName="[Dim_routes].[StartLocation].[All]" dimensionUniqueName="[Dim_routes]" displayFolder="" count="0" memberValueDatatype="130" unbalanced="0"/>
    <cacheHierarchy uniqueName="[Dim_routes].[EndLocation]" caption="EndLocation" attribute="1" defaultMemberUniqueName="[Dim_routes].[EndLocation].[All]" allUniqueName="[Dim_routes].[EndLocation].[All]" dimensionUniqueName="[Dim_routes]" displayFolder="" count="0" memberValueDatatype="130" unbalanced="0"/>
    <cacheHierarchy uniqueName="[Dim_routes].[TripFee]" caption="TripFee" attribute="1" defaultMemberUniqueName="[Dim_routes].[TripFee].[All]" allUniqueName="[Dim_routes].[TripFee].[All]" dimensionUniqueName="[Dim_routes]" displayFolder="" count="0" memberValueDatatype="20" unbalanced="0"/>
    <cacheHierarchy uniqueName="[Dim_routes].[TakeOffTime]" caption="TakeOffTime" attribute="1" time="1" defaultMemberUniqueName="[Dim_routes].[TakeOffTime].[All]" allUniqueName="[Dim_routes].[TakeOffTime].[All]" dimensionUniqueName="[Dim_routes]" displayFolder="" count="0" memberValueDatatype="7" unbalanced="0"/>
    <cacheHierarchy uniqueName="[Dim_routes].[ArrivalTime]" caption="ArrivalTime" attribute="1" time="1" defaultMemberUniqueName="[Dim_routes].[ArrivalTime].[All]" allUniqueName="[Dim_routes].[ArrivalTime].[All]" dimensionUniqueName="[Dim_routes]" displayFolder="" count="0" memberValueDatatype="7" unbalanced="0"/>
    <cacheHierarchy uniqueName="[Facttable_ridership].[RecordID]" caption="RecordID" attribute="1" defaultMemberUniqueName="[Facttable_ridership].[RecordID].[All]" allUniqueName="[Facttable_ridership].[RecordID].[All]" dimensionUniqueName="[Facttable_ridership]" displayFolder="" count="0" memberValueDatatype="20" unbalanced="0"/>
    <cacheHierarchy uniqueName="[Facttable_ridership].[BusID]" caption="BusID" attribute="1" defaultMemberUniqueName="[Facttable_ridership].[BusID].[All]" allUniqueName="[Facttable_ridership].[BusID].[All]" dimensionUniqueName="[Facttable_ridership]" displayFolder="" count="0" memberValueDatatype="20" unbalanced="0"/>
    <cacheHierarchy uniqueName="[Facttable_ridership].[Date]" caption="Date" attribute="1" time="1" defaultMemberUniqueName="[Facttable_ridership].[Date].[All]" allUniqueName="[Facttable_ridership].[Date].[All]" dimensionUniqueName="[Facttable_ridership]" displayFolder="" count="0" memberValueDatatype="7" unbalanced="0"/>
    <cacheHierarchy uniqueName="[Facttable_ridership].[Time]" caption="Time" attribute="1" time="1" defaultMemberUniqueName="[Facttable_ridership].[Time].[All]" allUniqueName="[Facttable_ridership].[Time].[All]" dimensionUniqueName="[Facttable_ridership]" displayFolder="" count="2" memberValueDatatype="7" unbalanced="0">
      <fieldsUsage count="2">
        <fieldUsage x="-1"/>
        <fieldUsage x="3"/>
      </fieldsUsage>
    </cacheHierarchy>
    <cacheHierarchy uniqueName="[Facttable_ridership].[Operation Moment]" caption="Operation Moment" attribute="1" defaultMemberUniqueName="[Facttable_ridership].[Operation Moment].[All]" allUniqueName="[Facttable_ridership].[Operation Moment].[All]" dimensionUniqueName="[Facttable_ridership]" displayFolder="" count="0" memberValueDatatype="130" unbalanced="0"/>
    <cacheHierarchy uniqueName="[Facttable_ridership].[Time Group]" caption="Time Group" attribute="1" defaultMemberUniqueName="[Facttable_ridership].[Time Group].[All]" allUniqueName="[Facttable_ridership].[Time Group].[All]" dimensionUniqueName="[Facttable_ridership]" displayFolder="" count="2" memberValueDatatype="130" unbalanced="0">
      <fieldsUsage count="2">
        <fieldUsage x="-1"/>
        <fieldUsage x="2"/>
      </fieldsUsage>
    </cacheHierarchy>
    <cacheHierarchy uniqueName="[Facttable_ridership].[NumberOfRiders]" caption="NumberOfRiders" attribute="1" defaultMemberUniqueName="[Facttable_ridership].[NumberOfRiders].[All]" allUniqueName="[Facttable_ridership].[NumberOfRiders].[All]" dimensionUniqueName="[Facttable_ridership]" displayFolder="" count="0" memberValueDatatype="20" unbalanced="0"/>
    <cacheHierarchy uniqueName="[Facttable_ridership].[RiderID]" caption="RiderID" attribute="1" defaultMemberUniqueName="[Facttable_ridership].[RiderID].[All]" allUniqueName="[Facttable_ridership].[RiderID].[All]" dimensionUniqueName="[Facttable_ridership]" displayFolder="" count="0" memberValueDatatype="20" unbalanced="0"/>
    <cacheHierarchy uniqueName="[Facttable_ridership].[Capacity]" caption="Capacity" attribute="1" defaultMemberUniqueName="[Facttable_ridership].[Capacity].[All]" allUniqueName="[Facttable_ridership].[Capacity].[All]" dimensionUniqueName="[Facttable_ridership]" displayFolder="" count="0" memberValueDatatype="20" unbalanced="0"/>
    <cacheHierarchy uniqueName="[Facttable_ridership].[Utilization Percentage]" caption="Utilization Percentage" attribute="1" defaultMemberUniqueName="[Facttable_ridership].[Utilization Percentage].[All]" allUniqueName="[Facttable_ridership].[Utilization Percentage].[All]" dimensionUniqueName="[Facttable_ridership]" displayFolder="" count="0" memberValueDatatype="5" unbalanced="0"/>
    <cacheHierarchy uniqueName="[Facttable_ridership].[Bus Utilization Category]" caption="Bus Utilization Category" attribute="1" defaultMemberUniqueName="[Facttable_ridership].[Bus Utilization Category].[All]" allUniqueName="[Facttable_ridership].[Bus Utilization Category].[All]" dimensionUniqueName="[Facttable_ridership]" displayFolder="" count="0" memberValueDatatype="130" unbalanced="0"/>
    <cacheHierarchy uniqueName="[Facttable_ridership].[Time (Hour)]" caption="Time (Hour)" attribute="1" defaultMemberUniqueName="[Facttable_ridership].[Time (Hour)].[All]" allUniqueName="[Facttable_ridership].[Time (Hour)].[All]" dimensionUniqueName="[Facttable_ridership]" displayFolder="" count="0" memberValueDatatype="130" unbalanced="0"/>
    <cacheHierarchy uniqueName="[Facttable_ridership].[Time (Minute)]" caption="Time (Minute)" attribute="1" defaultMemberUniqueName="[Facttable_ridership].[Time (Minute)].[All]" allUniqueName="[Facttable_ridership].[Time (Minute)].[All]" dimensionUniqueName="[Facttable_ridership]" displayFolder="" count="0" memberValueDatatype="130" unbalanced="0"/>
    <cacheHierarchy uniqueName="[Measures].[Count of Date]" caption="Count of Date" measure="1" displayFolder="" measureGroup="Facttable_ridership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Age]" caption="Sum of Age" measure="1" displayFolder="" measureGroup="Dim_demographics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Age]" caption="Count of Age" measure="1" displayFolder="" measureGroup="Dim_demographics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BusID]" caption="Sum of BusID" measure="1" displayFolder="" measureGroup="Facttable_ridership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Count of BusID]" caption="Count of BusID" measure="1" displayFolder="" measureGroup="Facttable_ridership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NumberOfRiders]" caption="Sum of NumberOfRiders" measure="1" displayFolder="" measureGroup="Facttable_ridership" count="0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Average of NumberOfRiders]" caption="Average of NumberOfRiders" measure="1" displayFolder="" measureGroup="Facttable_ridership" count="0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Year]" caption="Sum of Year" measure="1" displayFolder="" measureGroup="Dim_DateTabl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Total Transaction]" caption="Total Transaction" measure="1" displayFolder="" measureGroup="Calculations" count="0"/>
    <cacheHierarchy uniqueName="[Measures].[Average Age]" caption="Average Age" measure="1" displayFolder="" measureGroup="Calculations" count="0"/>
    <cacheHierarchy uniqueName="[Measures].[Total Riders(Passengers)]" caption="Total Riders(Passengers)" measure="1" displayFolder="" measureGroup="Calculations" count="0" oneField="1">
      <fieldsUsage count="1">
        <fieldUsage x="0"/>
      </fieldsUsage>
    </cacheHierarchy>
    <cacheHierarchy uniqueName="[Measures].[Avg Riders Per Trip]" caption="Avg Riders Per Trip" measure="1" displayFolder="" measureGroup="Calculations" count="0"/>
    <cacheHierarchy uniqueName="[Measures].[Total Buses]" caption="Total Buses" measure="1" displayFolder="" measureGroup="Calculations" count="0"/>
    <cacheHierarchy uniqueName="[Measures].[__XL_Count Dim_buses]" caption="__XL_Count Dim_buses" measure="1" displayFolder="" measureGroup="Dim_buses" count="0" hidden="1"/>
    <cacheHierarchy uniqueName="[Measures].[__XL_Count Dim_demographics]" caption="__XL_Count Dim_demographics" measure="1" displayFolder="" measureGroup="Dim_demographics" count="0" hidden="1"/>
    <cacheHierarchy uniqueName="[Measures].[__XL_Count Dim_routes]" caption="__XL_Count Dim_routes" measure="1" displayFolder="" measureGroup="Dim_routes" count="0" hidden="1"/>
    <cacheHierarchy uniqueName="[Measures].[__XL_Count Facttable_ridership]" caption="__XL_Count Facttable_ridership" measure="1" displayFolder="" measureGroup="Facttable_ridership" count="0" hidden="1"/>
    <cacheHierarchy uniqueName="[Measures].[__XL_Count Dim_DateTable]" caption="__XL_Count Dim_DateTable" measure="1" displayFolder="" measureGroup="Dim_DateTable" count="0" hidden="1"/>
    <cacheHierarchy uniqueName="[Measures].[__XL_Count Calculations]" caption="__XL_Count Calculations" measure="1" displayFolder="" measureGroup="Calculations" count="0" hidden="1"/>
    <cacheHierarchy uniqueName="[Measures].[__No measures defined]" caption="__No measures defined" measure="1" displayFolder="" count="0" hidden="1"/>
  </cacheHierarchies>
  <kpis count="0"/>
  <dimensions count="7">
    <dimension name="Calculations" uniqueName="[Calculations]" caption="Calculations"/>
    <dimension name="Dim_buses" uniqueName="[Dim_buses]" caption="Dim_buses"/>
    <dimension name="Dim_DateTable" uniqueName="[Dim_DateTable]" caption="Dim_DateTable"/>
    <dimension name="Dim_demographics" uniqueName="[Dim_demographics]" caption="Dim_demographics"/>
    <dimension name="Dim_routes" uniqueName="[Dim_routes]" caption="Dim_routes"/>
    <dimension name="Facttable_ridership" uniqueName="[Facttable_ridership]" caption="Facttable_ridership"/>
    <dimension measure="1" name="Measures" uniqueName="[Measures]" caption="Measures"/>
  </dimensions>
  <measureGroups count="6">
    <measureGroup name="Calculations" caption="Calculations"/>
    <measureGroup name="Dim_buses" caption="Dim_buses"/>
    <measureGroup name="Dim_DateTable" caption="Dim_DateTable"/>
    <measureGroup name="Dim_demographics" caption="Dim_demographics"/>
    <measureGroup name="Dim_routes" caption="Dim_routes"/>
    <measureGroup name="Facttable_ridership" caption="Facttable_ridership"/>
  </measureGroups>
  <maps count="11">
    <map measureGroup="0" dimension="0"/>
    <map measureGroup="1" dimension="1"/>
    <map measureGroup="1" dimension="4"/>
    <map measureGroup="2" dimension="2"/>
    <map measureGroup="3" dimension="3"/>
    <map measureGroup="4" dimension="4"/>
    <map measureGroup="5" dimension="1"/>
    <map measureGroup="5" dimension="2"/>
    <map measureGroup="5" dimension="3"/>
    <map measureGroup="5" dimension="4"/>
    <map measureGroup="5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atyajeet Sahoo" refreshedDate="45970.479225462965" createdVersion="8" refreshedVersion="8" minRefreshableVersion="3" recordCount="0" supportSubquery="1" supportAdvancedDrill="1" xr:uid="{C07AB8F0-458F-4EA7-B64A-3516A8B76B28}">
  <cacheSource type="external" connectionId="7"/>
  <cacheFields count="5">
    <cacheField name="[Measures].[Total Riders(Passengers)]" caption="Total Riders(Passengers)" numFmtId="0" hierarchy="47" level="32767"/>
    <cacheField name="[Dim_routes].[RouteName].[RouteName]" caption="RouteName" numFmtId="0" hierarchy="18" level="1">
      <sharedItems count="1">
        <s v="East-West Express"/>
      </sharedItems>
    </cacheField>
    <cacheField name="[Facttable_ridership].[Time Group].[Time Group]" caption="Time Group" numFmtId="0" hierarchy="29" level="1">
      <sharedItems count="6">
        <s v="12:00 PM - 3:00 PM"/>
        <s v="3:00 PM - 6:00 PM"/>
        <s v="6:00 AM - 9:00 AM"/>
        <s v="6:00 PM - 9:00 PM"/>
        <s v="9:00 AM - 12:00 PM"/>
        <s v="9:00 PM - 12:00 AM"/>
      </sharedItems>
    </cacheField>
    <cacheField name="[Facttable_ridership].[Time].[Time]" caption="Time" numFmtId="0" hierarchy="27" level="1">
      <sharedItems containsSemiMixedTypes="0" containsNonDate="0" containsDate="1" containsString="0" minDate="1899-12-30T12:34:00" maxDate="1899-12-30T12:34:00" count="1">
        <d v="1899-12-30T12:34:00"/>
      </sharedItems>
      <extLst>
        <ext xmlns:x15="http://schemas.microsoft.com/office/spreadsheetml/2010/11/main" uri="{4F2E5C28-24EA-4eb8-9CBF-B6C8F9C3D259}">
          <x15:cachedUniqueNames>
            <x15:cachedUniqueName index="0" name="[Facttable_ridership].[Time].&amp;[1899-12-30T12:34:00]"/>
          </x15:cachedUniqueNames>
        </ext>
      </extLst>
    </cacheField>
    <cacheField name="[Dim_DateTable].[Year].[Year]" caption="Year" numFmtId="0" hierarchy="6" level="1">
      <sharedItems containsSemiMixedTypes="0" containsString="0" containsNumber="1" containsInteger="1" minValue="2023" maxValue="2024" count="2">
        <n v="2023"/>
        <n v="2024"/>
      </sharedItems>
      <extLst>
        <ext xmlns:x15="http://schemas.microsoft.com/office/spreadsheetml/2010/11/main" uri="{4F2E5C28-24EA-4eb8-9CBF-B6C8F9C3D259}">
          <x15:cachedUniqueNames>
            <x15:cachedUniqueName index="0" name="[Dim_DateTable].[Year].&amp;[2023]"/>
            <x15:cachedUniqueName index="1" name="[Dim_DateTable].[Year].&amp;[2024]"/>
          </x15:cachedUniqueNames>
        </ext>
      </extLst>
    </cacheField>
  </cacheFields>
  <cacheHierarchies count="57">
    <cacheHierarchy uniqueName="[Calculations].[Calculation]" caption="Calculation" attribute="1" defaultMemberUniqueName="[Calculations].[Calculation].[All]" allUniqueName="[Calculations].[Calculation].[All]" dimensionUniqueName="[Calculations]" displayFolder="" count="0" memberValueDatatype="20" unbalanced="0"/>
    <cacheHierarchy uniqueName="[Dim_buses].[BusID]" caption="BusID" attribute="1" defaultMemberUniqueName="[Dim_buses].[BusID].[All]" allUniqueName="[Dim_buses].[BusID].[All]" dimensionUniqueName="[Dim_buses]" displayFolder="" count="0" memberValueDatatype="20" unbalanced="0"/>
    <cacheHierarchy uniqueName="[Dim_buses].[RouteID]" caption="RouteID" attribute="1" defaultMemberUniqueName="[Dim_buses].[RouteID].[All]" allUniqueName="[Dim_buses].[RouteID].[All]" dimensionUniqueName="[Dim_buses]" displayFolder="" count="0" memberValueDatatype="20" unbalanced="0"/>
    <cacheHierarchy uniqueName="[Dim_buses].[BusNumber]" caption="BusNumber" attribute="1" defaultMemberUniqueName="[Dim_buses].[BusNumber].[All]" allUniqueName="[Dim_buses].[BusNumber].[All]" dimensionUniqueName="[Dim_buses]" displayFolder="" count="0" memberValueDatatype="130" unbalanced="0"/>
    <cacheHierarchy uniqueName="[Dim_buses].[Capacity]" caption="Capacity" attribute="1" defaultMemberUniqueName="[Dim_buses].[Capacity].[All]" allUniqueName="[Dim_buses].[Capacity].[All]" dimensionUniqueName="[Dim_buses]" displayFolder="" count="0" memberValueDatatype="20" unbalanced="0"/>
    <cacheHierarchy uniqueName="[Dim_DateTable].[Date]" caption="Date" attribute="1" time="1" defaultMemberUniqueName="[Dim_DateTable].[Date].[All]" allUniqueName="[Dim_DateTable].[Date].[All]" dimensionUniqueName="[Dim_DateTable]" displayFolder="" count="0" memberValueDatatype="7" unbalanced="0"/>
    <cacheHierarchy uniqueName="[Dim_DateTable].[Year]" caption="Year" attribute="1" defaultMemberUniqueName="[Dim_DateTable].[Year].[All]" allUniqueName="[Dim_DateTable].[Year].[All]" dimensionUniqueName="[Dim_DateTable]" displayFolder="" count="2" memberValueDatatype="20" unbalanced="0">
      <fieldsUsage count="2">
        <fieldUsage x="-1"/>
        <fieldUsage x="4"/>
      </fieldsUsage>
    </cacheHierarchy>
    <cacheHierarchy uniqueName="[Dim_DateTable].[Month Name]" caption="Month Name" attribute="1" defaultMemberUniqueName="[Dim_DateTable].[Month Name].[All]" allUniqueName="[Dim_DateTable].[Month Name].[All]" dimensionUniqueName="[Dim_DateTable]" displayFolder="" count="0" memberValueDatatype="130" unbalanced="0"/>
    <cacheHierarchy uniqueName="[Dim_DateTable].[Month Number]" caption="Month Number" attribute="1" defaultMemberUniqueName="[Dim_DateTable].[Month Number].[All]" allUniqueName="[Dim_DateTable].[Month Number].[All]" dimensionUniqueName="[Dim_DateTable]" displayFolder="" count="0" memberValueDatatype="20" unbalanced="0"/>
    <cacheHierarchy uniqueName="[Dim_DateTable].[Day Name]" caption="Day Name" attribute="1" defaultMemberUniqueName="[Dim_DateTable].[Day Name].[All]" allUniqueName="[Dim_DateTable].[Day Name].[All]" dimensionUniqueName="[Dim_DateTable]" displayFolder="" count="0" memberValueDatatype="130" unbalanced="0"/>
    <cacheHierarchy uniqueName="[Dim_DateTable].[Week Number]" caption="Week Number" attribute="1" defaultMemberUniqueName="[Dim_DateTable].[Week Number].[All]" allUniqueName="[Dim_DateTable].[Week Number].[All]" dimensionUniqueName="[Dim_DateTable]" displayFolder="" count="0" memberValueDatatype="20" unbalanced="0"/>
    <cacheHierarchy uniqueName="[Dim_DateTable].[Week Type]" caption="Week Type" attribute="1" defaultMemberUniqueName="[Dim_DateTable].[Week Type].[All]" allUniqueName="[Dim_DateTable].[Week Type].[All]" dimensionUniqueName="[Dim_DateTable]" displayFolder="" count="0" memberValueDatatype="130" unbalanced="0"/>
    <cacheHierarchy uniqueName="[Dim_demographics].[RiderID]" caption="RiderID" attribute="1" defaultMemberUniqueName="[Dim_demographics].[RiderID].[All]" allUniqueName="[Dim_demographics].[RiderID].[All]" dimensionUniqueName="[Dim_demographics]" displayFolder="" count="0" memberValueDatatype="20" unbalanced="0"/>
    <cacheHierarchy uniqueName="[Dim_demographics].[Age]" caption="Age" attribute="1" defaultMemberUniqueName="[Dim_demographics].[Age].[All]" allUniqueName="[Dim_demographics].[Age].[All]" dimensionUniqueName="[Dim_demographics]" displayFolder="" count="0" memberValueDatatype="20" unbalanced="0"/>
    <cacheHierarchy uniqueName="[Dim_demographics].[Age Bucket]" caption="Age Bucket" attribute="1" defaultMemberUniqueName="[Dim_demographics].[Age Bucket].[All]" allUniqueName="[Dim_demographics].[Age Bucket].[All]" dimensionUniqueName="[Dim_demographics]" displayFolder="" count="0" memberValueDatatype="130" unbalanced="0"/>
    <cacheHierarchy uniqueName="[Dim_demographics].[Gender]" caption="Gender" attribute="1" defaultMemberUniqueName="[Dim_demographics].[Gender].[All]" allUniqueName="[Dim_demographics].[Gender].[All]" dimensionUniqueName="[Dim_demographics]" displayFolder="" count="0" memberValueDatatype="130" unbalanced="0"/>
    <cacheHierarchy uniqueName="[Dim_demographics].[Occupation]" caption="Occupation" attribute="1" defaultMemberUniqueName="[Dim_demographics].[Occupation].[All]" allUniqueName="[Dim_demographics].[Occupation].[All]" dimensionUniqueName="[Dim_demographics]" displayFolder="" count="0" memberValueDatatype="130" unbalanced="0"/>
    <cacheHierarchy uniqueName="[Dim_routes].[RouteID]" caption="RouteID" attribute="1" defaultMemberUniqueName="[Dim_routes].[RouteID].[All]" allUniqueName="[Dim_routes].[RouteID].[All]" dimensionUniqueName="[Dim_routes]" displayFolder="" count="0" memberValueDatatype="20" unbalanced="0"/>
    <cacheHierarchy uniqueName="[Dim_routes].[RouteName]" caption="RouteName" attribute="1" defaultMemberUniqueName="[Dim_routes].[RouteName].[All]" allUniqueName="[Dim_routes].[RouteName].[All]" dimensionUniqueName="[Dim_routes]" displayFolder="" count="2" memberValueDatatype="130" unbalanced="0">
      <fieldsUsage count="2">
        <fieldUsage x="-1"/>
        <fieldUsage x="1"/>
      </fieldsUsage>
    </cacheHierarchy>
    <cacheHierarchy uniqueName="[Dim_routes].[StartLocation]" caption="StartLocation" attribute="1" defaultMemberUniqueName="[Dim_routes].[StartLocation].[All]" allUniqueName="[Dim_routes].[StartLocation].[All]" dimensionUniqueName="[Dim_routes]" displayFolder="" count="0" memberValueDatatype="130" unbalanced="0"/>
    <cacheHierarchy uniqueName="[Dim_routes].[EndLocation]" caption="EndLocation" attribute="1" defaultMemberUniqueName="[Dim_routes].[EndLocation].[All]" allUniqueName="[Dim_routes].[EndLocation].[All]" dimensionUniqueName="[Dim_routes]" displayFolder="" count="0" memberValueDatatype="130" unbalanced="0"/>
    <cacheHierarchy uniqueName="[Dim_routes].[TripFee]" caption="TripFee" attribute="1" defaultMemberUniqueName="[Dim_routes].[TripFee].[All]" allUniqueName="[Dim_routes].[TripFee].[All]" dimensionUniqueName="[Dim_routes]" displayFolder="" count="0" memberValueDatatype="20" unbalanced="0"/>
    <cacheHierarchy uniqueName="[Dim_routes].[TakeOffTime]" caption="TakeOffTime" attribute="1" time="1" defaultMemberUniqueName="[Dim_routes].[TakeOffTime].[All]" allUniqueName="[Dim_routes].[TakeOffTime].[All]" dimensionUniqueName="[Dim_routes]" displayFolder="" count="0" memberValueDatatype="7" unbalanced="0"/>
    <cacheHierarchy uniqueName="[Dim_routes].[ArrivalTime]" caption="ArrivalTime" attribute="1" time="1" defaultMemberUniqueName="[Dim_routes].[ArrivalTime].[All]" allUniqueName="[Dim_routes].[ArrivalTime].[All]" dimensionUniqueName="[Dim_routes]" displayFolder="" count="0" memberValueDatatype="7" unbalanced="0"/>
    <cacheHierarchy uniqueName="[Facttable_ridership].[RecordID]" caption="RecordID" attribute="1" defaultMemberUniqueName="[Facttable_ridership].[RecordID].[All]" allUniqueName="[Facttable_ridership].[RecordID].[All]" dimensionUniqueName="[Facttable_ridership]" displayFolder="" count="0" memberValueDatatype="20" unbalanced="0"/>
    <cacheHierarchy uniqueName="[Facttable_ridership].[BusID]" caption="BusID" attribute="1" defaultMemberUniqueName="[Facttable_ridership].[BusID].[All]" allUniqueName="[Facttable_ridership].[BusID].[All]" dimensionUniqueName="[Facttable_ridership]" displayFolder="" count="0" memberValueDatatype="20" unbalanced="0"/>
    <cacheHierarchy uniqueName="[Facttable_ridership].[Date]" caption="Date" attribute="1" time="1" defaultMemberUniqueName="[Facttable_ridership].[Date].[All]" allUniqueName="[Facttable_ridership].[Date].[All]" dimensionUniqueName="[Facttable_ridership]" displayFolder="" count="0" memberValueDatatype="7" unbalanced="0"/>
    <cacheHierarchy uniqueName="[Facttable_ridership].[Time]" caption="Time" attribute="1" time="1" defaultMemberUniqueName="[Facttable_ridership].[Time].[All]" allUniqueName="[Facttable_ridership].[Time].[All]" dimensionUniqueName="[Facttable_ridership]" displayFolder="" count="2" memberValueDatatype="7" unbalanced="0">
      <fieldsUsage count="2">
        <fieldUsage x="-1"/>
        <fieldUsage x="3"/>
      </fieldsUsage>
    </cacheHierarchy>
    <cacheHierarchy uniqueName="[Facttable_ridership].[Operation Moment]" caption="Operation Moment" attribute="1" defaultMemberUniqueName="[Facttable_ridership].[Operation Moment].[All]" allUniqueName="[Facttable_ridership].[Operation Moment].[All]" dimensionUniqueName="[Facttable_ridership]" displayFolder="" count="0" memberValueDatatype="130" unbalanced="0"/>
    <cacheHierarchy uniqueName="[Facttable_ridership].[Time Group]" caption="Time Group" attribute="1" defaultMemberUniqueName="[Facttable_ridership].[Time Group].[All]" allUniqueName="[Facttable_ridership].[Time Group].[All]" dimensionUniqueName="[Facttable_ridership]" displayFolder="" count="2" memberValueDatatype="130" unbalanced="0">
      <fieldsUsage count="2">
        <fieldUsage x="-1"/>
        <fieldUsage x="2"/>
      </fieldsUsage>
    </cacheHierarchy>
    <cacheHierarchy uniqueName="[Facttable_ridership].[NumberOfRiders]" caption="NumberOfRiders" attribute="1" defaultMemberUniqueName="[Facttable_ridership].[NumberOfRiders].[All]" allUniqueName="[Facttable_ridership].[NumberOfRiders].[All]" dimensionUniqueName="[Facttable_ridership]" displayFolder="" count="0" memberValueDatatype="20" unbalanced="0"/>
    <cacheHierarchy uniqueName="[Facttable_ridership].[RiderID]" caption="RiderID" attribute="1" defaultMemberUniqueName="[Facttable_ridership].[RiderID].[All]" allUniqueName="[Facttable_ridership].[RiderID].[All]" dimensionUniqueName="[Facttable_ridership]" displayFolder="" count="0" memberValueDatatype="20" unbalanced="0"/>
    <cacheHierarchy uniqueName="[Facttable_ridership].[Capacity]" caption="Capacity" attribute="1" defaultMemberUniqueName="[Facttable_ridership].[Capacity].[All]" allUniqueName="[Facttable_ridership].[Capacity].[All]" dimensionUniqueName="[Facttable_ridership]" displayFolder="" count="0" memberValueDatatype="20" unbalanced="0"/>
    <cacheHierarchy uniqueName="[Facttable_ridership].[Utilization Percentage]" caption="Utilization Percentage" attribute="1" defaultMemberUniqueName="[Facttable_ridership].[Utilization Percentage].[All]" allUniqueName="[Facttable_ridership].[Utilization Percentage].[All]" dimensionUniqueName="[Facttable_ridership]" displayFolder="" count="0" memberValueDatatype="5" unbalanced="0"/>
    <cacheHierarchy uniqueName="[Facttable_ridership].[Bus Utilization Category]" caption="Bus Utilization Category" attribute="1" defaultMemberUniqueName="[Facttable_ridership].[Bus Utilization Category].[All]" allUniqueName="[Facttable_ridership].[Bus Utilization Category].[All]" dimensionUniqueName="[Facttable_ridership]" displayFolder="" count="0" memberValueDatatype="130" unbalanced="0"/>
    <cacheHierarchy uniqueName="[Facttable_ridership].[Time (Hour)]" caption="Time (Hour)" attribute="1" defaultMemberUniqueName="[Facttable_ridership].[Time (Hour)].[All]" allUniqueName="[Facttable_ridership].[Time (Hour)].[All]" dimensionUniqueName="[Facttable_ridership]" displayFolder="" count="0" memberValueDatatype="130" unbalanced="0"/>
    <cacheHierarchy uniqueName="[Facttable_ridership].[Time (Minute)]" caption="Time (Minute)" attribute="1" defaultMemberUniqueName="[Facttable_ridership].[Time (Minute)].[All]" allUniqueName="[Facttable_ridership].[Time (Minute)].[All]" dimensionUniqueName="[Facttable_ridership]" displayFolder="" count="0" memberValueDatatype="130" unbalanced="0"/>
    <cacheHierarchy uniqueName="[Measures].[Count of Date]" caption="Count of Date" measure="1" displayFolder="" measureGroup="Facttable_ridership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Age]" caption="Sum of Age" measure="1" displayFolder="" measureGroup="Dim_demographics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Age]" caption="Count of Age" measure="1" displayFolder="" measureGroup="Dim_demographics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BusID]" caption="Sum of BusID" measure="1" displayFolder="" measureGroup="Facttable_ridership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Count of BusID]" caption="Count of BusID" measure="1" displayFolder="" measureGroup="Facttable_ridership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NumberOfRiders]" caption="Sum of NumberOfRiders" measure="1" displayFolder="" measureGroup="Facttable_ridership" count="0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Average of NumberOfRiders]" caption="Average of NumberOfRiders" measure="1" displayFolder="" measureGroup="Facttable_ridership" count="0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Year]" caption="Sum of Year" measure="1" displayFolder="" measureGroup="Dim_DateTabl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Total Transaction]" caption="Total Transaction" measure="1" displayFolder="" measureGroup="Calculations" count="0"/>
    <cacheHierarchy uniqueName="[Measures].[Average Age]" caption="Average Age" measure="1" displayFolder="" measureGroup="Calculations" count="0"/>
    <cacheHierarchy uniqueName="[Measures].[Total Riders(Passengers)]" caption="Total Riders(Passengers)" measure="1" displayFolder="" measureGroup="Calculations" count="0" oneField="1">
      <fieldsUsage count="1">
        <fieldUsage x="0"/>
      </fieldsUsage>
    </cacheHierarchy>
    <cacheHierarchy uniqueName="[Measures].[Avg Riders Per Trip]" caption="Avg Riders Per Trip" measure="1" displayFolder="" measureGroup="Calculations" count="0"/>
    <cacheHierarchy uniqueName="[Measures].[Total Buses]" caption="Total Buses" measure="1" displayFolder="" measureGroup="Calculations" count="0"/>
    <cacheHierarchy uniqueName="[Measures].[__XL_Count Dim_buses]" caption="__XL_Count Dim_buses" measure="1" displayFolder="" measureGroup="Dim_buses" count="0" hidden="1"/>
    <cacheHierarchy uniqueName="[Measures].[__XL_Count Dim_demographics]" caption="__XL_Count Dim_demographics" measure="1" displayFolder="" measureGroup="Dim_demographics" count="0" hidden="1"/>
    <cacheHierarchy uniqueName="[Measures].[__XL_Count Dim_routes]" caption="__XL_Count Dim_routes" measure="1" displayFolder="" measureGroup="Dim_routes" count="0" hidden="1"/>
    <cacheHierarchy uniqueName="[Measures].[__XL_Count Facttable_ridership]" caption="__XL_Count Facttable_ridership" measure="1" displayFolder="" measureGroup="Facttable_ridership" count="0" hidden="1"/>
    <cacheHierarchy uniqueName="[Measures].[__XL_Count Dim_DateTable]" caption="__XL_Count Dim_DateTable" measure="1" displayFolder="" measureGroup="Dim_DateTable" count="0" hidden="1"/>
    <cacheHierarchy uniqueName="[Measures].[__XL_Count Calculations]" caption="__XL_Count Calculations" measure="1" displayFolder="" measureGroup="Calculations" count="0" hidden="1"/>
    <cacheHierarchy uniqueName="[Measures].[__No measures defined]" caption="__No measures defined" measure="1" displayFolder="" count="0" hidden="1"/>
  </cacheHierarchies>
  <kpis count="0"/>
  <dimensions count="7">
    <dimension name="Calculations" uniqueName="[Calculations]" caption="Calculations"/>
    <dimension name="Dim_buses" uniqueName="[Dim_buses]" caption="Dim_buses"/>
    <dimension name="Dim_DateTable" uniqueName="[Dim_DateTable]" caption="Dim_DateTable"/>
    <dimension name="Dim_demographics" uniqueName="[Dim_demographics]" caption="Dim_demographics"/>
    <dimension name="Dim_routes" uniqueName="[Dim_routes]" caption="Dim_routes"/>
    <dimension name="Facttable_ridership" uniqueName="[Facttable_ridership]" caption="Facttable_ridership"/>
    <dimension measure="1" name="Measures" uniqueName="[Measures]" caption="Measures"/>
  </dimensions>
  <measureGroups count="6">
    <measureGroup name="Calculations" caption="Calculations"/>
    <measureGroup name="Dim_buses" caption="Dim_buses"/>
    <measureGroup name="Dim_DateTable" caption="Dim_DateTable"/>
    <measureGroup name="Dim_demographics" caption="Dim_demographics"/>
    <measureGroup name="Dim_routes" caption="Dim_routes"/>
    <measureGroup name="Facttable_ridership" caption="Facttable_ridership"/>
  </measureGroups>
  <maps count="11">
    <map measureGroup="0" dimension="0"/>
    <map measureGroup="1" dimension="1"/>
    <map measureGroup="1" dimension="4"/>
    <map measureGroup="2" dimension="2"/>
    <map measureGroup="3" dimension="3"/>
    <map measureGroup="4" dimension="4"/>
    <map measureGroup="5" dimension="1"/>
    <map measureGroup="5" dimension="2"/>
    <map measureGroup="5" dimension="3"/>
    <map measureGroup="5" dimension="4"/>
    <map measureGroup="5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atyajeet Sahoo" refreshedDate="45970.47922685185" createdVersion="8" refreshedVersion="8" minRefreshableVersion="3" recordCount="0" supportSubquery="1" supportAdvancedDrill="1" xr:uid="{41CF226B-B8E7-4085-90FD-733AEF786EA8}">
  <cacheSource type="external" connectionId="7"/>
  <cacheFields count="5">
    <cacheField name="[Measures].[Total Riders(Passengers)]" caption="Total Riders(Passengers)" numFmtId="0" hierarchy="47" level="32767"/>
    <cacheField name="[Dim_routes].[RouteName].[RouteName]" caption="RouteName" numFmtId="0" hierarchy="18" level="1">
      <sharedItems count="1">
        <s v="East-West Express"/>
      </sharedItems>
    </cacheField>
    <cacheField name="[Facttable_ridership].[Time Group].[Time Group]" caption="Time Group" numFmtId="0" hierarchy="29" level="1">
      <sharedItems count="6">
        <s v="12:00 PM - 3:00 PM"/>
        <s v="3:00 PM - 6:00 PM"/>
        <s v="6:00 AM - 9:00 AM"/>
        <s v="6:00 PM - 9:00 PM"/>
        <s v="9:00 AM - 12:00 PM"/>
        <s v="9:00 PM - 12:00 AM"/>
      </sharedItems>
    </cacheField>
    <cacheField name="[Facttable_ridership].[Time].[Time]" caption="Time" numFmtId="0" hierarchy="27" level="1">
      <sharedItems containsSemiMixedTypes="0" containsNonDate="0" containsDate="1" containsString="0" minDate="1899-12-30T12:34:00" maxDate="1899-12-30T12:34:00" count="1">
        <d v="1899-12-30T12:34:00"/>
      </sharedItems>
      <extLst>
        <ext xmlns:x15="http://schemas.microsoft.com/office/spreadsheetml/2010/11/main" uri="{4F2E5C28-24EA-4eb8-9CBF-B6C8F9C3D259}">
          <x15:cachedUniqueNames>
            <x15:cachedUniqueName index="0" name="[Facttable_ridership].[Time].&amp;[1899-12-30T12:34:00]"/>
          </x15:cachedUniqueNames>
        </ext>
      </extLst>
    </cacheField>
    <cacheField name="[Dim_DateTable].[Year].[Year]" caption="Year" numFmtId="0" hierarchy="6" level="1">
      <sharedItems containsSemiMixedTypes="0" containsString="0" containsNumber="1" containsInteger="1" minValue="2023" maxValue="2024" count="2">
        <n v="2023"/>
        <n v="2024"/>
      </sharedItems>
      <extLst>
        <ext xmlns:x15="http://schemas.microsoft.com/office/spreadsheetml/2010/11/main" uri="{4F2E5C28-24EA-4eb8-9CBF-B6C8F9C3D259}">
          <x15:cachedUniqueNames>
            <x15:cachedUniqueName index="0" name="[Dim_DateTable].[Year].&amp;[2023]"/>
            <x15:cachedUniqueName index="1" name="[Dim_DateTable].[Year].&amp;[2024]"/>
          </x15:cachedUniqueNames>
        </ext>
      </extLst>
    </cacheField>
  </cacheFields>
  <cacheHierarchies count="57">
    <cacheHierarchy uniqueName="[Calculations].[Calculation]" caption="Calculation" attribute="1" defaultMemberUniqueName="[Calculations].[Calculation].[All]" allUniqueName="[Calculations].[Calculation].[All]" dimensionUniqueName="[Calculations]" displayFolder="" count="0" memberValueDatatype="20" unbalanced="0"/>
    <cacheHierarchy uniqueName="[Dim_buses].[BusID]" caption="BusID" attribute="1" defaultMemberUniqueName="[Dim_buses].[BusID].[All]" allUniqueName="[Dim_buses].[BusID].[All]" dimensionUniqueName="[Dim_buses]" displayFolder="" count="0" memberValueDatatype="20" unbalanced="0"/>
    <cacheHierarchy uniqueName="[Dim_buses].[RouteID]" caption="RouteID" attribute="1" defaultMemberUniqueName="[Dim_buses].[RouteID].[All]" allUniqueName="[Dim_buses].[RouteID].[All]" dimensionUniqueName="[Dim_buses]" displayFolder="" count="0" memberValueDatatype="20" unbalanced="0"/>
    <cacheHierarchy uniqueName="[Dim_buses].[BusNumber]" caption="BusNumber" attribute="1" defaultMemberUniqueName="[Dim_buses].[BusNumber].[All]" allUniqueName="[Dim_buses].[BusNumber].[All]" dimensionUniqueName="[Dim_buses]" displayFolder="" count="0" memberValueDatatype="130" unbalanced="0"/>
    <cacheHierarchy uniqueName="[Dim_buses].[Capacity]" caption="Capacity" attribute="1" defaultMemberUniqueName="[Dim_buses].[Capacity].[All]" allUniqueName="[Dim_buses].[Capacity].[All]" dimensionUniqueName="[Dim_buses]" displayFolder="" count="0" memberValueDatatype="20" unbalanced="0"/>
    <cacheHierarchy uniqueName="[Dim_DateTable].[Date]" caption="Date" attribute="1" time="1" defaultMemberUniqueName="[Dim_DateTable].[Date].[All]" allUniqueName="[Dim_DateTable].[Date].[All]" dimensionUniqueName="[Dim_DateTable]" displayFolder="" count="0" memberValueDatatype="7" unbalanced="0"/>
    <cacheHierarchy uniqueName="[Dim_DateTable].[Year]" caption="Year" attribute="1" defaultMemberUniqueName="[Dim_DateTable].[Year].[All]" allUniqueName="[Dim_DateTable].[Year].[All]" dimensionUniqueName="[Dim_DateTable]" displayFolder="" count="2" memberValueDatatype="20" unbalanced="0">
      <fieldsUsage count="2">
        <fieldUsage x="-1"/>
        <fieldUsage x="4"/>
      </fieldsUsage>
    </cacheHierarchy>
    <cacheHierarchy uniqueName="[Dim_DateTable].[Month Name]" caption="Month Name" attribute="1" defaultMemberUniqueName="[Dim_DateTable].[Month Name].[All]" allUniqueName="[Dim_DateTable].[Month Name].[All]" dimensionUniqueName="[Dim_DateTable]" displayFolder="" count="0" memberValueDatatype="130" unbalanced="0"/>
    <cacheHierarchy uniqueName="[Dim_DateTable].[Month Number]" caption="Month Number" attribute="1" defaultMemberUniqueName="[Dim_DateTable].[Month Number].[All]" allUniqueName="[Dim_DateTable].[Month Number].[All]" dimensionUniqueName="[Dim_DateTable]" displayFolder="" count="0" memberValueDatatype="20" unbalanced="0"/>
    <cacheHierarchy uniqueName="[Dim_DateTable].[Day Name]" caption="Day Name" attribute="1" defaultMemberUniqueName="[Dim_DateTable].[Day Name].[All]" allUniqueName="[Dim_DateTable].[Day Name].[All]" dimensionUniqueName="[Dim_DateTable]" displayFolder="" count="0" memberValueDatatype="130" unbalanced="0"/>
    <cacheHierarchy uniqueName="[Dim_DateTable].[Week Number]" caption="Week Number" attribute="1" defaultMemberUniqueName="[Dim_DateTable].[Week Number].[All]" allUniqueName="[Dim_DateTable].[Week Number].[All]" dimensionUniqueName="[Dim_DateTable]" displayFolder="" count="0" memberValueDatatype="20" unbalanced="0"/>
    <cacheHierarchy uniqueName="[Dim_DateTable].[Week Type]" caption="Week Type" attribute="1" defaultMemberUniqueName="[Dim_DateTable].[Week Type].[All]" allUniqueName="[Dim_DateTable].[Week Type].[All]" dimensionUniqueName="[Dim_DateTable]" displayFolder="" count="0" memberValueDatatype="130" unbalanced="0"/>
    <cacheHierarchy uniqueName="[Dim_demographics].[RiderID]" caption="RiderID" attribute="1" defaultMemberUniqueName="[Dim_demographics].[RiderID].[All]" allUniqueName="[Dim_demographics].[RiderID].[All]" dimensionUniqueName="[Dim_demographics]" displayFolder="" count="0" memberValueDatatype="20" unbalanced="0"/>
    <cacheHierarchy uniqueName="[Dim_demographics].[Age]" caption="Age" attribute="1" defaultMemberUniqueName="[Dim_demographics].[Age].[All]" allUniqueName="[Dim_demographics].[Age].[All]" dimensionUniqueName="[Dim_demographics]" displayFolder="" count="0" memberValueDatatype="20" unbalanced="0"/>
    <cacheHierarchy uniqueName="[Dim_demographics].[Age Bucket]" caption="Age Bucket" attribute="1" defaultMemberUniqueName="[Dim_demographics].[Age Bucket].[All]" allUniqueName="[Dim_demographics].[Age Bucket].[All]" dimensionUniqueName="[Dim_demographics]" displayFolder="" count="0" memberValueDatatype="130" unbalanced="0"/>
    <cacheHierarchy uniqueName="[Dim_demographics].[Gender]" caption="Gender" attribute="1" defaultMemberUniqueName="[Dim_demographics].[Gender].[All]" allUniqueName="[Dim_demographics].[Gender].[All]" dimensionUniqueName="[Dim_demographics]" displayFolder="" count="0" memberValueDatatype="130" unbalanced="0"/>
    <cacheHierarchy uniqueName="[Dim_demographics].[Occupation]" caption="Occupation" attribute="1" defaultMemberUniqueName="[Dim_demographics].[Occupation].[All]" allUniqueName="[Dim_demographics].[Occupation].[All]" dimensionUniqueName="[Dim_demographics]" displayFolder="" count="0" memberValueDatatype="130" unbalanced="0"/>
    <cacheHierarchy uniqueName="[Dim_routes].[RouteID]" caption="RouteID" attribute="1" defaultMemberUniqueName="[Dim_routes].[RouteID].[All]" allUniqueName="[Dim_routes].[RouteID].[All]" dimensionUniqueName="[Dim_routes]" displayFolder="" count="0" memberValueDatatype="20" unbalanced="0"/>
    <cacheHierarchy uniqueName="[Dim_routes].[RouteName]" caption="RouteName" attribute="1" defaultMemberUniqueName="[Dim_routes].[RouteName].[All]" allUniqueName="[Dim_routes].[RouteName].[All]" dimensionUniqueName="[Dim_routes]" displayFolder="" count="2" memberValueDatatype="130" unbalanced="0">
      <fieldsUsage count="2">
        <fieldUsage x="-1"/>
        <fieldUsage x="1"/>
      </fieldsUsage>
    </cacheHierarchy>
    <cacheHierarchy uniqueName="[Dim_routes].[StartLocation]" caption="StartLocation" attribute="1" defaultMemberUniqueName="[Dim_routes].[StartLocation].[All]" allUniqueName="[Dim_routes].[StartLocation].[All]" dimensionUniqueName="[Dim_routes]" displayFolder="" count="0" memberValueDatatype="130" unbalanced="0"/>
    <cacheHierarchy uniqueName="[Dim_routes].[EndLocation]" caption="EndLocation" attribute="1" defaultMemberUniqueName="[Dim_routes].[EndLocation].[All]" allUniqueName="[Dim_routes].[EndLocation].[All]" dimensionUniqueName="[Dim_routes]" displayFolder="" count="0" memberValueDatatype="130" unbalanced="0"/>
    <cacheHierarchy uniqueName="[Dim_routes].[TripFee]" caption="TripFee" attribute="1" defaultMemberUniqueName="[Dim_routes].[TripFee].[All]" allUniqueName="[Dim_routes].[TripFee].[All]" dimensionUniqueName="[Dim_routes]" displayFolder="" count="0" memberValueDatatype="20" unbalanced="0"/>
    <cacheHierarchy uniqueName="[Dim_routes].[TakeOffTime]" caption="TakeOffTime" attribute="1" time="1" defaultMemberUniqueName="[Dim_routes].[TakeOffTime].[All]" allUniqueName="[Dim_routes].[TakeOffTime].[All]" dimensionUniqueName="[Dim_routes]" displayFolder="" count="0" memberValueDatatype="7" unbalanced="0"/>
    <cacheHierarchy uniqueName="[Dim_routes].[ArrivalTime]" caption="ArrivalTime" attribute="1" time="1" defaultMemberUniqueName="[Dim_routes].[ArrivalTime].[All]" allUniqueName="[Dim_routes].[ArrivalTime].[All]" dimensionUniqueName="[Dim_routes]" displayFolder="" count="0" memberValueDatatype="7" unbalanced="0"/>
    <cacheHierarchy uniqueName="[Facttable_ridership].[RecordID]" caption="RecordID" attribute="1" defaultMemberUniqueName="[Facttable_ridership].[RecordID].[All]" allUniqueName="[Facttable_ridership].[RecordID].[All]" dimensionUniqueName="[Facttable_ridership]" displayFolder="" count="0" memberValueDatatype="20" unbalanced="0"/>
    <cacheHierarchy uniqueName="[Facttable_ridership].[BusID]" caption="BusID" attribute="1" defaultMemberUniqueName="[Facttable_ridership].[BusID].[All]" allUniqueName="[Facttable_ridership].[BusID].[All]" dimensionUniqueName="[Facttable_ridership]" displayFolder="" count="0" memberValueDatatype="20" unbalanced="0"/>
    <cacheHierarchy uniqueName="[Facttable_ridership].[Date]" caption="Date" attribute="1" time="1" defaultMemberUniqueName="[Facttable_ridership].[Date].[All]" allUniqueName="[Facttable_ridership].[Date].[All]" dimensionUniqueName="[Facttable_ridership]" displayFolder="" count="0" memberValueDatatype="7" unbalanced="0"/>
    <cacheHierarchy uniqueName="[Facttable_ridership].[Time]" caption="Time" attribute="1" time="1" defaultMemberUniqueName="[Facttable_ridership].[Time].[All]" allUniqueName="[Facttable_ridership].[Time].[All]" dimensionUniqueName="[Facttable_ridership]" displayFolder="" count="2" memberValueDatatype="7" unbalanced="0">
      <fieldsUsage count="2">
        <fieldUsage x="-1"/>
        <fieldUsage x="3"/>
      </fieldsUsage>
    </cacheHierarchy>
    <cacheHierarchy uniqueName="[Facttable_ridership].[Operation Moment]" caption="Operation Moment" attribute="1" defaultMemberUniqueName="[Facttable_ridership].[Operation Moment].[All]" allUniqueName="[Facttable_ridership].[Operation Moment].[All]" dimensionUniqueName="[Facttable_ridership]" displayFolder="" count="0" memberValueDatatype="130" unbalanced="0"/>
    <cacheHierarchy uniqueName="[Facttable_ridership].[Time Group]" caption="Time Group" attribute="1" defaultMemberUniqueName="[Facttable_ridership].[Time Group].[All]" allUniqueName="[Facttable_ridership].[Time Group].[All]" dimensionUniqueName="[Facttable_ridership]" displayFolder="" count="2" memberValueDatatype="130" unbalanced="0">
      <fieldsUsage count="2">
        <fieldUsage x="-1"/>
        <fieldUsage x="2"/>
      </fieldsUsage>
    </cacheHierarchy>
    <cacheHierarchy uniqueName="[Facttable_ridership].[NumberOfRiders]" caption="NumberOfRiders" attribute="1" defaultMemberUniqueName="[Facttable_ridership].[NumberOfRiders].[All]" allUniqueName="[Facttable_ridership].[NumberOfRiders].[All]" dimensionUniqueName="[Facttable_ridership]" displayFolder="" count="0" memberValueDatatype="20" unbalanced="0"/>
    <cacheHierarchy uniqueName="[Facttable_ridership].[RiderID]" caption="RiderID" attribute="1" defaultMemberUniqueName="[Facttable_ridership].[RiderID].[All]" allUniqueName="[Facttable_ridership].[RiderID].[All]" dimensionUniqueName="[Facttable_ridership]" displayFolder="" count="0" memberValueDatatype="20" unbalanced="0"/>
    <cacheHierarchy uniqueName="[Facttable_ridership].[Capacity]" caption="Capacity" attribute="1" defaultMemberUniqueName="[Facttable_ridership].[Capacity].[All]" allUniqueName="[Facttable_ridership].[Capacity].[All]" dimensionUniqueName="[Facttable_ridership]" displayFolder="" count="0" memberValueDatatype="20" unbalanced="0"/>
    <cacheHierarchy uniqueName="[Facttable_ridership].[Utilization Percentage]" caption="Utilization Percentage" attribute="1" defaultMemberUniqueName="[Facttable_ridership].[Utilization Percentage].[All]" allUniqueName="[Facttable_ridership].[Utilization Percentage].[All]" dimensionUniqueName="[Facttable_ridership]" displayFolder="" count="0" memberValueDatatype="5" unbalanced="0"/>
    <cacheHierarchy uniqueName="[Facttable_ridership].[Bus Utilization Category]" caption="Bus Utilization Category" attribute="1" defaultMemberUniqueName="[Facttable_ridership].[Bus Utilization Category].[All]" allUniqueName="[Facttable_ridership].[Bus Utilization Category].[All]" dimensionUniqueName="[Facttable_ridership]" displayFolder="" count="0" memberValueDatatype="130" unbalanced="0"/>
    <cacheHierarchy uniqueName="[Facttable_ridership].[Time (Hour)]" caption="Time (Hour)" attribute="1" defaultMemberUniqueName="[Facttable_ridership].[Time (Hour)].[All]" allUniqueName="[Facttable_ridership].[Time (Hour)].[All]" dimensionUniqueName="[Facttable_ridership]" displayFolder="" count="0" memberValueDatatype="130" unbalanced="0"/>
    <cacheHierarchy uniqueName="[Facttable_ridership].[Time (Minute)]" caption="Time (Minute)" attribute="1" defaultMemberUniqueName="[Facttable_ridership].[Time (Minute)].[All]" allUniqueName="[Facttable_ridership].[Time (Minute)].[All]" dimensionUniqueName="[Facttable_ridership]" displayFolder="" count="0" memberValueDatatype="130" unbalanced="0"/>
    <cacheHierarchy uniqueName="[Measures].[Count of Date]" caption="Count of Date" measure="1" displayFolder="" measureGroup="Facttable_ridership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Age]" caption="Sum of Age" measure="1" displayFolder="" measureGroup="Dim_demographics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Age]" caption="Count of Age" measure="1" displayFolder="" measureGroup="Dim_demographics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BusID]" caption="Sum of BusID" measure="1" displayFolder="" measureGroup="Facttable_ridership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Count of BusID]" caption="Count of BusID" measure="1" displayFolder="" measureGroup="Facttable_ridership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NumberOfRiders]" caption="Sum of NumberOfRiders" measure="1" displayFolder="" measureGroup="Facttable_ridership" count="0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Average of NumberOfRiders]" caption="Average of NumberOfRiders" measure="1" displayFolder="" measureGroup="Facttable_ridership" count="0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Year]" caption="Sum of Year" measure="1" displayFolder="" measureGroup="Dim_DateTabl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Total Transaction]" caption="Total Transaction" measure="1" displayFolder="" measureGroup="Calculations" count="0"/>
    <cacheHierarchy uniqueName="[Measures].[Average Age]" caption="Average Age" measure="1" displayFolder="" measureGroup="Calculations" count="0"/>
    <cacheHierarchy uniqueName="[Measures].[Total Riders(Passengers)]" caption="Total Riders(Passengers)" measure="1" displayFolder="" measureGroup="Calculations" count="0" oneField="1">
      <fieldsUsage count="1">
        <fieldUsage x="0"/>
      </fieldsUsage>
    </cacheHierarchy>
    <cacheHierarchy uniqueName="[Measures].[Avg Riders Per Trip]" caption="Avg Riders Per Trip" measure="1" displayFolder="" measureGroup="Calculations" count="0"/>
    <cacheHierarchy uniqueName="[Measures].[Total Buses]" caption="Total Buses" measure="1" displayFolder="" measureGroup="Calculations" count="0"/>
    <cacheHierarchy uniqueName="[Measures].[__XL_Count Dim_buses]" caption="__XL_Count Dim_buses" measure="1" displayFolder="" measureGroup="Dim_buses" count="0" hidden="1"/>
    <cacheHierarchy uniqueName="[Measures].[__XL_Count Dim_demographics]" caption="__XL_Count Dim_demographics" measure="1" displayFolder="" measureGroup="Dim_demographics" count="0" hidden="1"/>
    <cacheHierarchy uniqueName="[Measures].[__XL_Count Dim_routes]" caption="__XL_Count Dim_routes" measure="1" displayFolder="" measureGroup="Dim_routes" count="0" hidden="1"/>
    <cacheHierarchy uniqueName="[Measures].[__XL_Count Facttable_ridership]" caption="__XL_Count Facttable_ridership" measure="1" displayFolder="" measureGroup="Facttable_ridership" count="0" hidden="1"/>
    <cacheHierarchy uniqueName="[Measures].[__XL_Count Dim_DateTable]" caption="__XL_Count Dim_DateTable" measure="1" displayFolder="" measureGroup="Dim_DateTable" count="0" hidden="1"/>
    <cacheHierarchy uniqueName="[Measures].[__XL_Count Calculations]" caption="__XL_Count Calculations" measure="1" displayFolder="" measureGroup="Calculations" count="0" hidden="1"/>
    <cacheHierarchy uniqueName="[Measures].[__No measures defined]" caption="__No measures defined" measure="1" displayFolder="" count="0" hidden="1"/>
  </cacheHierarchies>
  <kpis count="0"/>
  <dimensions count="7">
    <dimension name="Calculations" uniqueName="[Calculations]" caption="Calculations"/>
    <dimension name="Dim_buses" uniqueName="[Dim_buses]" caption="Dim_buses"/>
    <dimension name="Dim_DateTable" uniqueName="[Dim_DateTable]" caption="Dim_DateTable"/>
    <dimension name="Dim_demographics" uniqueName="[Dim_demographics]" caption="Dim_demographics"/>
    <dimension name="Dim_routes" uniqueName="[Dim_routes]" caption="Dim_routes"/>
    <dimension name="Facttable_ridership" uniqueName="[Facttable_ridership]" caption="Facttable_ridership"/>
    <dimension measure="1" name="Measures" uniqueName="[Measures]" caption="Measures"/>
  </dimensions>
  <measureGroups count="6">
    <measureGroup name="Calculations" caption="Calculations"/>
    <measureGroup name="Dim_buses" caption="Dim_buses"/>
    <measureGroup name="Dim_DateTable" caption="Dim_DateTable"/>
    <measureGroup name="Dim_demographics" caption="Dim_demographics"/>
    <measureGroup name="Dim_routes" caption="Dim_routes"/>
    <measureGroup name="Facttable_ridership" caption="Facttable_ridership"/>
  </measureGroups>
  <maps count="11">
    <map measureGroup="0" dimension="0"/>
    <map measureGroup="1" dimension="1"/>
    <map measureGroup="1" dimension="4"/>
    <map measureGroup="2" dimension="2"/>
    <map measureGroup="3" dimension="3"/>
    <map measureGroup="4" dimension="4"/>
    <map measureGroup="5" dimension="1"/>
    <map measureGroup="5" dimension="2"/>
    <map measureGroup="5" dimension="3"/>
    <map measureGroup="5" dimension="4"/>
    <map measureGroup="5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atyajeet Sahoo" refreshedDate="45970.479228124997" createdVersion="8" refreshedVersion="8" minRefreshableVersion="3" recordCount="0" supportSubquery="1" supportAdvancedDrill="1" xr:uid="{A3E2182C-C89F-47B3-93C2-90B47B266A6A}">
  <cacheSource type="external" connectionId="7"/>
  <cacheFields count="2">
    <cacheField name="[Measures].[Total Riders(Passengers)]" caption="Total Riders(Passengers)" numFmtId="0" hierarchy="47" level="32767"/>
    <cacheField name="[Measures].[Avg Riders Per Trip]" caption="Avg Riders Per Trip" numFmtId="0" hierarchy="48" level="32767"/>
  </cacheFields>
  <cacheHierarchies count="57">
    <cacheHierarchy uniqueName="[Calculations].[Calculation]" caption="Calculation" attribute="1" defaultMemberUniqueName="[Calculations].[Calculation].[All]" allUniqueName="[Calculations].[Calculation].[All]" dimensionUniqueName="[Calculations]" displayFolder="" count="0" memberValueDatatype="20" unbalanced="0"/>
    <cacheHierarchy uniqueName="[Dim_buses].[BusID]" caption="BusID" attribute="1" defaultMemberUniqueName="[Dim_buses].[BusID].[All]" allUniqueName="[Dim_buses].[BusID].[All]" dimensionUniqueName="[Dim_buses]" displayFolder="" count="0" memberValueDatatype="20" unbalanced="0"/>
    <cacheHierarchy uniqueName="[Dim_buses].[RouteID]" caption="RouteID" attribute="1" defaultMemberUniqueName="[Dim_buses].[RouteID].[All]" allUniqueName="[Dim_buses].[RouteID].[All]" dimensionUniqueName="[Dim_buses]" displayFolder="" count="0" memberValueDatatype="20" unbalanced="0"/>
    <cacheHierarchy uniqueName="[Dim_buses].[BusNumber]" caption="BusNumber" attribute="1" defaultMemberUniqueName="[Dim_buses].[BusNumber].[All]" allUniqueName="[Dim_buses].[BusNumber].[All]" dimensionUniqueName="[Dim_buses]" displayFolder="" count="0" memberValueDatatype="130" unbalanced="0"/>
    <cacheHierarchy uniqueName="[Dim_buses].[Capacity]" caption="Capacity" attribute="1" defaultMemberUniqueName="[Dim_buses].[Capacity].[All]" allUniqueName="[Dim_buses].[Capacity].[All]" dimensionUniqueName="[Dim_buses]" displayFolder="" count="0" memberValueDatatype="20" unbalanced="0"/>
    <cacheHierarchy uniqueName="[Dim_DateTable].[Date]" caption="Date" attribute="1" time="1" defaultMemberUniqueName="[Dim_DateTable].[Date].[All]" allUniqueName="[Dim_DateTable].[Date].[All]" dimensionUniqueName="[Dim_DateTable]" displayFolder="" count="0" memberValueDatatype="7" unbalanced="0"/>
    <cacheHierarchy uniqueName="[Dim_DateTable].[Year]" caption="Year" attribute="1" defaultMemberUniqueName="[Dim_DateTable].[Year].[All]" allUniqueName="[Dim_DateTable].[Year].[All]" dimensionUniqueName="[Dim_DateTable]" displayFolder="" count="0" memberValueDatatype="20" unbalanced="0"/>
    <cacheHierarchy uniqueName="[Dim_DateTable].[Month Name]" caption="Month Name" attribute="1" defaultMemberUniqueName="[Dim_DateTable].[Month Name].[All]" allUniqueName="[Dim_DateTable].[Month Name].[All]" dimensionUniqueName="[Dim_DateTable]" displayFolder="" count="0" memberValueDatatype="130" unbalanced="0"/>
    <cacheHierarchy uniqueName="[Dim_DateTable].[Month Number]" caption="Month Number" attribute="1" defaultMemberUniqueName="[Dim_DateTable].[Month Number].[All]" allUniqueName="[Dim_DateTable].[Month Number].[All]" dimensionUniqueName="[Dim_DateTable]" displayFolder="" count="0" memberValueDatatype="20" unbalanced="0"/>
    <cacheHierarchy uniqueName="[Dim_DateTable].[Day Name]" caption="Day Name" attribute="1" defaultMemberUniqueName="[Dim_DateTable].[Day Name].[All]" allUniqueName="[Dim_DateTable].[Day Name].[All]" dimensionUniqueName="[Dim_DateTable]" displayFolder="" count="0" memberValueDatatype="130" unbalanced="0"/>
    <cacheHierarchy uniqueName="[Dim_DateTable].[Week Number]" caption="Week Number" attribute="1" defaultMemberUniqueName="[Dim_DateTable].[Week Number].[All]" allUniqueName="[Dim_DateTable].[Week Number].[All]" dimensionUniqueName="[Dim_DateTable]" displayFolder="" count="0" memberValueDatatype="20" unbalanced="0"/>
    <cacheHierarchy uniqueName="[Dim_DateTable].[Week Type]" caption="Week Type" attribute="1" defaultMemberUniqueName="[Dim_DateTable].[Week Type].[All]" allUniqueName="[Dim_DateTable].[Week Type].[All]" dimensionUniqueName="[Dim_DateTable]" displayFolder="" count="0" memberValueDatatype="130" unbalanced="0"/>
    <cacheHierarchy uniqueName="[Dim_demographics].[RiderID]" caption="RiderID" attribute="1" defaultMemberUniqueName="[Dim_demographics].[RiderID].[All]" allUniqueName="[Dim_demographics].[RiderID].[All]" dimensionUniqueName="[Dim_demographics]" displayFolder="" count="0" memberValueDatatype="20" unbalanced="0"/>
    <cacheHierarchy uniqueName="[Dim_demographics].[Age]" caption="Age" attribute="1" defaultMemberUniqueName="[Dim_demographics].[Age].[All]" allUniqueName="[Dim_demographics].[Age].[All]" dimensionUniqueName="[Dim_demographics]" displayFolder="" count="0" memberValueDatatype="20" unbalanced="0"/>
    <cacheHierarchy uniqueName="[Dim_demographics].[Age Bucket]" caption="Age Bucket" attribute="1" defaultMemberUniqueName="[Dim_demographics].[Age Bucket].[All]" allUniqueName="[Dim_demographics].[Age Bucket].[All]" dimensionUniqueName="[Dim_demographics]" displayFolder="" count="0" memberValueDatatype="130" unbalanced="0"/>
    <cacheHierarchy uniqueName="[Dim_demographics].[Gender]" caption="Gender" attribute="1" defaultMemberUniqueName="[Dim_demographics].[Gender].[All]" allUniqueName="[Dim_demographics].[Gender].[All]" dimensionUniqueName="[Dim_demographics]" displayFolder="" count="0" memberValueDatatype="130" unbalanced="0"/>
    <cacheHierarchy uniqueName="[Dim_demographics].[Occupation]" caption="Occupation" attribute="1" defaultMemberUniqueName="[Dim_demographics].[Occupation].[All]" allUniqueName="[Dim_demographics].[Occupation].[All]" dimensionUniqueName="[Dim_demographics]" displayFolder="" count="0" memberValueDatatype="130" unbalanced="0"/>
    <cacheHierarchy uniqueName="[Dim_routes].[RouteID]" caption="RouteID" attribute="1" defaultMemberUniqueName="[Dim_routes].[RouteID].[All]" allUniqueName="[Dim_routes].[RouteID].[All]" dimensionUniqueName="[Dim_routes]" displayFolder="" count="0" memberValueDatatype="20" unbalanced="0"/>
    <cacheHierarchy uniqueName="[Dim_routes].[RouteName]" caption="RouteName" attribute="1" defaultMemberUniqueName="[Dim_routes].[RouteName].[All]" allUniqueName="[Dim_routes].[RouteName].[All]" dimensionUniqueName="[Dim_routes]" displayFolder="" count="0" memberValueDatatype="130" unbalanced="0"/>
    <cacheHierarchy uniqueName="[Dim_routes].[StartLocation]" caption="StartLocation" attribute="1" defaultMemberUniqueName="[Dim_routes].[StartLocation].[All]" allUniqueName="[Dim_routes].[StartLocation].[All]" dimensionUniqueName="[Dim_routes]" displayFolder="" count="0" memberValueDatatype="130" unbalanced="0"/>
    <cacheHierarchy uniqueName="[Dim_routes].[EndLocation]" caption="EndLocation" attribute="1" defaultMemberUniqueName="[Dim_routes].[EndLocation].[All]" allUniqueName="[Dim_routes].[EndLocation].[All]" dimensionUniqueName="[Dim_routes]" displayFolder="" count="0" memberValueDatatype="130" unbalanced="0"/>
    <cacheHierarchy uniqueName="[Dim_routes].[TripFee]" caption="TripFee" attribute="1" defaultMemberUniqueName="[Dim_routes].[TripFee].[All]" allUniqueName="[Dim_routes].[TripFee].[All]" dimensionUniqueName="[Dim_routes]" displayFolder="" count="0" memberValueDatatype="20" unbalanced="0"/>
    <cacheHierarchy uniqueName="[Dim_routes].[TakeOffTime]" caption="TakeOffTime" attribute="1" time="1" defaultMemberUniqueName="[Dim_routes].[TakeOffTime].[All]" allUniqueName="[Dim_routes].[TakeOffTime].[All]" dimensionUniqueName="[Dim_routes]" displayFolder="" count="0" memberValueDatatype="7" unbalanced="0"/>
    <cacheHierarchy uniqueName="[Dim_routes].[ArrivalTime]" caption="ArrivalTime" attribute="1" time="1" defaultMemberUniqueName="[Dim_routes].[ArrivalTime].[All]" allUniqueName="[Dim_routes].[ArrivalTime].[All]" dimensionUniqueName="[Dim_routes]" displayFolder="" count="0" memberValueDatatype="7" unbalanced="0"/>
    <cacheHierarchy uniqueName="[Facttable_ridership].[RecordID]" caption="RecordID" attribute="1" defaultMemberUniqueName="[Facttable_ridership].[RecordID].[All]" allUniqueName="[Facttable_ridership].[RecordID].[All]" dimensionUniqueName="[Facttable_ridership]" displayFolder="" count="0" memberValueDatatype="20" unbalanced="0"/>
    <cacheHierarchy uniqueName="[Facttable_ridership].[BusID]" caption="BusID" attribute="1" defaultMemberUniqueName="[Facttable_ridership].[BusID].[All]" allUniqueName="[Facttable_ridership].[BusID].[All]" dimensionUniqueName="[Facttable_ridership]" displayFolder="" count="0" memberValueDatatype="20" unbalanced="0"/>
    <cacheHierarchy uniqueName="[Facttable_ridership].[Date]" caption="Date" attribute="1" time="1" defaultMemberUniqueName="[Facttable_ridership].[Date].[All]" allUniqueName="[Facttable_ridership].[Date].[All]" dimensionUniqueName="[Facttable_ridership]" displayFolder="" count="0" memberValueDatatype="7" unbalanced="0"/>
    <cacheHierarchy uniqueName="[Facttable_ridership].[Time]" caption="Time" attribute="1" time="1" defaultMemberUniqueName="[Facttable_ridership].[Time].[All]" allUniqueName="[Facttable_ridership].[Time].[All]" dimensionUniqueName="[Facttable_ridership]" displayFolder="" count="0" memberValueDatatype="7" unbalanced="0"/>
    <cacheHierarchy uniqueName="[Facttable_ridership].[Operation Moment]" caption="Operation Moment" attribute="1" defaultMemberUniqueName="[Facttable_ridership].[Operation Moment].[All]" allUniqueName="[Facttable_ridership].[Operation Moment].[All]" dimensionUniqueName="[Facttable_ridership]" displayFolder="" count="0" memberValueDatatype="130" unbalanced="0"/>
    <cacheHierarchy uniqueName="[Facttable_ridership].[Time Group]" caption="Time Group" attribute="1" defaultMemberUniqueName="[Facttable_ridership].[Time Group].[All]" allUniqueName="[Facttable_ridership].[Time Group].[All]" dimensionUniqueName="[Facttable_ridership]" displayFolder="" count="0" memberValueDatatype="130" unbalanced="0"/>
    <cacheHierarchy uniqueName="[Facttable_ridership].[NumberOfRiders]" caption="NumberOfRiders" attribute="1" defaultMemberUniqueName="[Facttable_ridership].[NumberOfRiders].[All]" allUniqueName="[Facttable_ridership].[NumberOfRiders].[All]" dimensionUniqueName="[Facttable_ridership]" displayFolder="" count="0" memberValueDatatype="20" unbalanced="0"/>
    <cacheHierarchy uniqueName="[Facttable_ridership].[RiderID]" caption="RiderID" attribute="1" defaultMemberUniqueName="[Facttable_ridership].[RiderID].[All]" allUniqueName="[Facttable_ridership].[RiderID].[All]" dimensionUniqueName="[Facttable_ridership]" displayFolder="" count="0" memberValueDatatype="20" unbalanced="0"/>
    <cacheHierarchy uniqueName="[Facttable_ridership].[Capacity]" caption="Capacity" attribute="1" defaultMemberUniqueName="[Facttable_ridership].[Capacity].[All]" allUniqueName="[Facttable_ridership].[Capacity].[All]" dimensionUniqueName="[Facttable_ridership]" displayFolder="" count="0" memberValueDatatype="20" unbalanced="0"/>
    <cacheHierarchy uniqueName="[Facttable_ridership].[Utilization Percentage]" caption="Utilization Percentage" attribute="1" defaultMemberUniqueName="[Facttable_ridership].[Utilization Percentage].[All]" allUniqueName="[Facttable_ridership].[Utilization Percentage].[All]" dimensionUniqueName="[Facttable_ridership]" displayFolder="" count="0" memberValueDatatype="5" unbalanced="0"/>
    <cacheHierarchy uniqueName="[Facttable_ridership].[Bus Utilization Category]" caption="Bus Utilization Category" attribute="1" defaultMemberUniqueName="[Facttable_ridership].[Bus Utilization Category].[All]" allUniqueName="[Facttable_ridership].[Bus Utilization Category].[All]" dimensionUniqueName="[Facttable_ridership]" displayFolder="" count="0" memberValueDatatype="130" unbalanced="0"/>
    <cacheHierarchy uniqueName="[Facttable_ridership].[Time (Hour)]" caption="Time (Hour)" attribute="1" defaultMemberUniqueName="[Facttable_ridership].[Time (Hour)].[All]" allUniqueName="[Facttable_ridership].[Time (Hour)].[All]" dimensionUniqueName="[Facttable_ridership]" displayFolder="" count="0" memberValueDatatype="130" unbalanced="0"/>
    <cacheHierarchy uniqueName="[Facttable_ridership].[Time (Minute)]" caption="Time (Minute)" attribute="1" defaultMemberUniqueName="[Facttable_ridership].[Time (Minute)].[All]" allUniqueName="[Facttable_ridership].[Time (Minute)].[All]" dimensionUniqueName="[Facttable_ridership]" displayFolder="" count="0" memberValueDatatype="130" unbalanced="0"/>
    <cacheHierarchy uniqueName="[Measures].[Count of Date]" caption="Count of Date" measure="1" displayFolder="" measureGroup="Facttable_ridership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Age]" caption="Sum of Age" measure="1" displayFolder="" measureGroup="Dim_demographics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Age]" caption="Count of Age" measure="1" displayFolder="" measureGroup="Dim_demographics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BusID]" caption="Sum of BusID" measure="1" displayFolder="" measureGroup="Facttable_ridership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Count of BusID]" caption="Count of BusID" measure="1" displayFolder="" measureGroup="Facttable_ridership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NumberOfRiders]" caption="Sum of NumberOfRiders" measure="1" displayFolder="" measureGroup="Facttable_ridership" count="0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Average of NumberOfRiders]" caption="Average of NumberOfRiders" measure="1" displayFolder="" measureGroup="Facttable_ridership" count="0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Year]" caption="Sum of Year" measure="1" displayFolder="" measureGroup="Dim_DateTabl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Total Transaction]" caption="Total Transaction" measure="1" displayFolder="" measureGroup="Calculations" count="0"/>
    <cacheHierarchy uniqueName="[Measures].[Average Age]" caption="Average Age" measure="1" displayFolder="" measureGroup="Calculations" count="0"/>
    <cacheHierarchy uniqueName="[Measures].[Total Riders(Passengers)]" caption="Total Riders(Passengers)" measure="1" displayFolder="" measureGroup="Calculations" count="0" oneField="1">
      <fieldsUsage count="1">
        <fieldUsage x="0"/>
      </fieldsUsage>
    </cacheHierarchy>
    <cacheHierarchy uniqueName="[Measures].[Avg Riders Per Trip]" caption="Avg Riders Per Trip" measure="1" displayFolder="" measureGroup="Calculations" count="0" oneField="1">
      <fieldsUsage count="1">
        <fieldUsage x="1"/>
      </fieldsUsage>
    </cacheHierarchy>
    <cacheHierarchy uniqueName="[Measures].[Total Buses]" caption="Total Buses" measure="1" displayFolder="" measureGroup="Calculations" count="0"/>
    <cacheHierarchy uniqueName="[Measures].[__XL_Count Dim_buses]" caption="__XL_Count Dim_buses" measure="1" displayFolder="" measureGroup="Dim_buses" count="0" hidden="1"/>
    <cacheHierarchy uniqueName="[Measures].[__XL_Count Dim_demographics]" caption="__XL_Count Dim_demographics" measure="1" displayFolder="" measureGroup="Dim_demographics" count="0" hidden="1"/>
    <cacheHierarchy uniqueName="[Measures].[__XL_Count Dim_routes]" caption="__XL_Count Dim_routes" measure="1" displayFolder="" measureGroup="Dim_routes" count="0" hidden="1"/>
    <cacheHierarchy uniqueName="[Measures].[__XL_Count Facttable_ridership]" caption="__XL_Count Facttable_ridership" measure="1" displayFolder="" measureGroup="Facttable_ridership" count="0" hidden="1"/>
    <cacheHierarchy uniqueName="[Measures].[__XL_Count Dim_DateTable]" caption="__XL_Count Dim_DateTable" measure="1" displayFolder="" measureGroup="Dim_DateTable" count="0" hidden="1"/>
    <cacheHierarchy uniqueName="[Measures].[__XL_Count Calculations]" caption="__XL_Count Calculations" measure="1" displayFolder="" measureGroup="Calculations" count="0" hidden="1"/>
    <cacheHierarchy uniqueName="[Measures].[__No measures defined]" caption="__No measures defined" measure="1" displayFolder="" count="0" hidden="1"/>
  </cacheHierarchies>
  <kpis count="0"/>
  <dimensions count="7">
    <dimension name="Calculations" uniqueName="[Calculations]" caption="Calculations"/>
    <dimension name="Dim_buses" uniqueName="[Dim_buses]" caption="Dim_buses"/>
    <dimension name="Dim_DateTable" uniqueName="[Dim_DateTable]" caption="Dim_DateTable"/>
    <dimension name="Dim_demographics" uniqueName="[Dim_demographics]" caption="Dim_demographics"/>
    <dimension name="Dim_routes" uniqueName="[Dim_routes]" caption="Dim_routes"/>
    <dimension name="Facttable_ridership" uniqueName="[Facttable_ridership]" caption="Facttable_ridership"/>
    <dimension measure="1" name="Measures" uniqueName="[Measures]" caption="Measures"/>
  </dimensions>
  <measureGroups count="6">
    <measureGroup name="Calculations" caption="Calculations"/>
    <measureGroup name="Dim_buses" caption="Dim_buses"/>
    <measureGroup name="Dim_DateTable" caption="Dim_DateTable"/>
    <measureGroup name="Dim_demographics" caption="Dim_demographics"/>
    <measureGroup name="Dim_routes" caption="Dim_routes"/>
    <measureGroup name="Facttable_ridership" caption="Facttable_ridership"/>
  </measureGroups>
  <maps count="11">
    <map measureGroup="0" dimension="0"/>
    <map measureGroup="1" dimension="1"/>
    <map measureGroup="1" dimension="4"/>
    <map measureGroup="2" dimension="2"/>
    <map measureGroup="3" dimension="3"/>
    <map measureGroup="4" dimension="4"/>
    <map measureGroup="5" dimension="1"/>
    <map measureGroup="5" dimension="2"/>
    <map measureGroup="5" dimension="3"/>
    <map measureGroup="5" dimension="4"/>
    <map measureGroup="5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atyajeet Sahoo" refreshedDate="45970.47922951389" createdVersion="8" refreshedVersion="8" minRefreshableVersion="3" recordCount="0" supportSubquery="1" supportAdvancedDrill="1" xr:uid="{D8F3C71B-777A-4A77-8C3C-4BFF268C65C6}">
  <cacheSource type="external" connectionId="7"/>
  <cacheFields count="2">
    <cacheField name="[Measures].[Total Riders(Passengers)]" caption="Total Riders(Passengers)" numFmtId="0" hierarchy="47" level="32767"/>
    <cacheField name="[Dim_routes].[RouteName].[RouteName]" caption="RouteName" numFmtId="0" hierarchy="18" level="1">
      <sharedItems count="1">
        <s v="East-West Express"/>
      </sharedItems>
    </cacheField>
  </cacheFields>
  <cacheHierarchies count="57">
    <cacheHierarchy uniqueName="[Calculations].[Calculation]" caption="Calculation" attribute="1" defaultMemberUniqueName="[Calculations].[Calculation].[All]" allUniqueName="[Calculations].[Calculation].[All]" dimensionUniqueName="[Calculations]" displayFolder="" count="0" memberValueDatatype="20" unbalanced="0"/>
    <cacheHierarchy uniqueName="[Dim_buses].[BusID]" caption="BusID" attribute="1" defaultMemberUniqueName="[Dim_buses].[BusID].[All]" allUniqueName="[Dim_buses].[BusID].[All]" dimensionUniqueName="[Dim_buses]" displayFolder="" count="0" memberValueDatatype="20" unbalanced="0"/>
    <cacheHierarchy uniqueName="[Dim_buses].[RouteID]" caption="RouteID" attribute="1" defaultMemberUniqueName="[Dim_buses].[RouteID].[All]" allUniqueName="[Dim_buses].[RouteID].[All]" dimensionUniqueName="[Dim_buses]" displayFolder="" count="0" memberValueDatatype="20" unbalanced="0"/>
    <cacheHierarchy uniqueName="[Dim_buses].[BusNumber]" caption="BusNumber" attribute="1" defaultMemberUniqueName="[Dim_buses].[BusNumber].[All]" allUniqueName="[Dim_buses].[BusNumber].[All]" dimensionUniqueName="[Dim_buses]" displayFolder="" count="0" memberValueDatatype="130" unbalanced="0"/>
    <cacheHierarchy uniqueName="[Dim_buses].[Capacity]" caption="Capacity" attribute="1" defaultMemberUniqueName="[Dim_buses].[Capacity].[All]" allUniqueName="[Dim_buses].[Capacity].[All]" dimensionUniqueName="[Dim_buses]" displayFolder="" count="0" memberValueDatatype="20" unbalanced="0"/>
    <cacheHierarchy uniqueName="[Dim_DateTable].[Date]" caption="Date" attribute="1" time="1" defaultMemberUniqueName="[Dim_DateTable].[Date].[All]" allUniqueName="[Dim_DateTable].[Date].[All]" dimensionUniqueName="[Dim_DateTable]" displayFolder="" count="0" memberValueDatatype="7" unbalanced="0"/>
    <cacheHierarchy uniqueName="[Dim_DateTable].[Year]" caption="Year" attribute="1" defaultMemberUniqueName="[Dim_DateTable].[Year].[All]" allUniqueName="[Dim_DateTable].[Year].[All]" dimensionUniqueName="[Dim_DateTable]" displayFolder="" count="0" memberValueDatatype="20" unbalanced="0"/>
    <cacheHierarchy uniqueName="[Dim_DateTable].[Month Name]" caption="Month Name" attribute="1" defaultMemberUniqueName="[Dim_DateTable].[Month Name].[All]" allUniqueName="[Dim_DateTable].[Month Name].[All]" dimensionUniqueName="[Dim_DateTable]" displayFolder="" count="0" memberValueDatatype="130" unbalanced="0"/>
    <cacheHierarchy uniqueName="[Dim_DateTable].[Month Number]" caption="Month Number" attribute="1" defaultMemberUniqueName="[Dim_DateTable].[Month Number].[All]" allUniqueName="[Dim_DateTable].[Month Number].[All]" dimensionUniqueName="[Dim_DateTable]" displayFolder="" count="0" memberValueDatatype="20" unbalanced="0"/>
    <cacheHierarchy uniqueName="[Dim_DateTable].[Day Name]" caption="Day Name" attribute="1" defaultMemberUniqueName="[Dim_DateTable].[Day Name].[All]" allUniqueName="[Dim_DateTable].[Day Name].[All]" dimensionUniqueName="[Dim_DateTable]" displayFolder="" count="0" memberValueDatatype="130" unbalanced="0"/>
    <cacheHierarchy uniqueName="[Dim_DateTable].[Week Number]" caption="Week Number" attribute="1" defaultMemberUniqueName="[Dim_DateTable].[Week Number].[All]" allUniqueName="[Dim_DateTable].[Week Number].[All]" dimensionUniqueName="[Dim_DateTable]" displayFolder="" count="0" memberValueDatatype="20" unbalanced="0"/>
    <cacheHierarchy uniqueName="[Dim_DateTable].[Week Type]" caption="Week Type" attribute="1" defaultMemberUniqueName="[Dim_DateTable].[Week Type].[All]" allUniqueName="[Dim_DateTable].[Week Type].[All]" dimensionUniqueName="[Dim_DateTable]" displayFolder="" count="0" memberValueDatatype="130" unbalanced="0"/>
    <cacheHierarchy uniqueName="[Dim_demographics].[RiderID]" caption="RiderID" attribute="1" defaultMemberUniqueName="[Dim_demographics].[RiderID].[All]" allUniqueName="[Dim_demographics].[RiderID].[All]" dimensionUniqueName="[Dim_demographics]" displayFolder="" count="0" memberValueDatatype="20" unbalanced="0"/>
    <cacheHierarchy uniqueName="[Dim_demographics].[Age]" caption="Age" attribute="1" defaultMemberUniqueName="[Dim_demographics].[Age].[All]" allUniqueName="[Dim_demographics].[Age].[All]" dimensionUniqueName="[Dim_demographics]" displayFolder="" count="0" memberValueDatatype="20" unbalanced="0"/>
    <cacheHierarchy uniqueName="[Dim_demographics].[Age Bucket]" caption="Age Bucket" attribute="1" defaultMemberUniqueName="[Dim_demographics].[Age Bucket].[All]" allUniqueName="[Dim_demographics].[Age Bucket].[All]" dimensionUniqueName="[Dim_demographics]" displayFolder="" count="0" memberValueDatatype="130" unbalanced="0"/>
    <cacheHierarchy uniqueName="[Dim_demographics].[Gender]" caption="Gender" attribute="1" defaultMemberUniqueName="[Dim_demographics].[Gender].[All]" allUniqueName="[Dim_demographics].[Gender].[All]" dimensionUniqueName="[Dim_demographics]" displayFolder="" count="0" memberValueDatatype="130" unbalanced="0"/>
    <cacheHierarchy uniqueName="[Dim_demographics].[Occupation]" caption="Occupation" attribute="1" defaultMemberUniqueName="[Dim_demographics].[Occupation].[All]" allUniqueName="[Dim_demographics].[Occupation].[All]" dimensionUniqueName="[Dim_demographics]" displayFolder="" count="0" memberValueDatatype="130" unbalanced="0"/>
    <cacheHierarchy uniqueName="[Dim_routes].[RouteID]" caption="RouteID" attribute="1" defaultMemberUniqueName="[Dim_routes].[RouteID].[All]" allUniqueName="[Dim_routes].[RouteID].[All]" dimensionUniqueName="[Dim_routes]" displayFolder="" count="0" memberValueDatatype="20" unbalanced="0"/>
    <cacheHierarchy uniqueName="[Dim_routes].[RouteName]" caption="RouteName" attribute="1" defaultMemberUniqueName="[Dim_routes].[RouteName].[All]" allUniqueName="[Dim_routes].[RouteName].[All]" dimensionUniqueName="[Dim_routes]" displayFolder="" count="2" memberValueDatatype="130" unbalanced="0">
      <fieldsUsage count="2">
        <fieldUsage x="-1"/>
        <fieldUsage x="1"/>
      </fieldsUsage>
    </cacheHierarchy>
    <cacheHierarchy uniqueName="[Dim_routes].[StartLocation]" caption="StartLocation" attribute="1" defaultMemberUniqueName="[Dim_routes].[StartLocation].[All]" allUniqueName="[Dim_routes].[StartLocation].[All]" dimensionUniqueName="[Dim_routes]" displayFolder="" count="0" memberValueDatatype="130" unbalanced="0"/>
    <cacheHierarchy uniqueName="[Dim_routes].[EndLocation]" caption="EndLocation" attribute="1" defaultMemberUniqueName="[Dim_routes].[EndLocation].[All]" allUniqueName="[Dim_routes].[EndLocation].[All]" dimensionUniqueName="[Dim_routes]" displayFolder="" count="0" memberValueDatatype="130" unbalanced="0"/>
    <cacheHierarchy uniqueName="[Dim_routes].[TripFee]" caption="TripFee" attribute="1" defaultMemberUniqueName="[Dim_routes].[TripFee].[All]" allUniqueName="[Dim_routes].[TripFee].[All]" dimensionUniqueName="[Dim_routes]" displayFolder="" count="0" memberValueDatatype="20" unbalanced="0"/>
    <cacheHierarchy uniqueName="[Dim_routes].[TakeOffTime]" caption="TakeOffTime" attribute="1" time="1" defaultMemberUniqueName="[Dim_routes].[TakeOffTime].[All]" allUniqueName="[Dim_routes].[TakeOffTime].[All]" dimensionUniqueName="[Dim_routes]" displayFolder="" count="0" memberValueDatatype="7" unbalanced="0"/>
    <cacheHierarchy uniqueName="[Dim_routes].[ArrivalTime]" caption="ArrivalTime" attribute="1" time="1" defaultMemberUniqueName="[Dim_routes].[ArrivalTime].[All]" allUniqueName="[Dim_routes].[ArrivalTime].[All]" dimensionUniqueName="[Dim_routes]" displayFolder="" count="0" memberValueDatatype="7" unbalanced="0"/>
    <cacheHierarchy uniqueName="[Facttable_ridership].[RecordID]" caption="RecordID" attribute="1" defaultMemberUniqueName="[Facttable_ridership].[RecordID].[All]" allUniqueName="[Facttable_ridership].[RecordID].[All]" dimensionUniqueName="[Facttable_ridership]" displayFolder="" count="0" memberValueDatatype="20" unbalanced="0"/>
    <cacheHierarchy uniqueName="[Facttable_ridership].[BusID]" caption="BusID" attribute="1" defaultMemberUniqueName="[Facttable_ridership].[BusID].[All]" allUniqueName="[Facttable_ridership].[BusID].[All]" dimensionUniqueName="[Facttable_ridership]" displayFolder="" count="0" memberValueDatatype="20" unbalanced="0"/>
    <cacheHierarchy uniqueName="[Facttable_ridership].[Date]" caption="Date" attribute="1" time="1" defaultMemberUniqueName="[Facttable_ridership].[Date].[All]" allUniqueName="[Facttable_ridership].[Date].[All]" dimensionUniqueName="[Facttable_ridership]" displayFolder="" count="0" memberValueDatatype="7" unbalanced="0"/>
    <cacheHierarchy uniqueName="[Facttable_ridership].[Time]" caption="Time" attribute="1" time="1" defaultMemberUniqueName="[Facttable_ridership].[Time].[All]" allUniqueName="[Facttable_ridership].[Time].[All]" dimensionUniqueName="[Facttable_ridership]" displayFolder="" count="0" memberValueDatatype="7" unbalanced="0"/>
    <cacheHierarchy uniqueName="[Facttable_ridership].[Operation Moment]" caption="Operation Moment" attribute="1" defaultMemberUniqueName="[Facttable_ridership].[Operation Moment].[All]" allUniqueName="[Facttable_ridership].[Operation Moment].[All]" dimensionUniqueName="[Facttable_ridership]" displayFolder="" count="0" memberValueDatatype="130" unbalanced="0"/>
    <cacheHierarchy uniqueName="[Facttable_ridership].[Time Group]" caption="Time Group" attribute="1" defaultMemberUniqueName="[Facttable_ridership].[Time Group].[All]" allUniqueName="[Facttable_ridership].[Time Group].[All]" dimensionUniqueName="[Facttable_ridership]" displayFolder="" count="0" memberValueDatatype="130" unbalanced="0"/>
    <cacheHierarchy uniqueName="[Facttable_ridership].[NumberOfRiders]" caption="NumberOfRiders" attribute="1" defaultMemberUniqueName="[Facttable_ridership].[NumberOfRiders].[All]" allUniqueName="[Facttable_ridership].[NumberOfRiders].[All]" dimensionUniqueName="[Facttable_ridership]" displayFolder="" count="0" memberValueDatatype="20" unbalanced="0"/>
    <cacheHierarchy uniqueName="[Facttable_ridership].[RiderID]" caption="RiderID" attribute="1" defaultMemberUniqueName="[Facttable_ridership].[RiderID].[All]" allUniqueName="[Facttable_ridership].[RiderID].[All]" dimensionUniqueName="[Facttable_ridership]" displayFolder="" count="0" memberValueDatatype="20" unbalanced="0"/>
    <cacheHierarchy uniqueName="[Facttable_ridership].[Capacity]" caption="Capacity" attribute="1" defaultMemberUniqueName="[Facttable_ridership].[Capacity].[All]" allUniqueName="[Facttable_ridership].[Capacity].[All]" dimensionUniqueName="[Facttable_ridership]" displayFolder="" count="0" memberValueDatatype="20" unbalanced="0"/>
    <cacheHierarchy uniqueName="[Facttable_ridership].[Utilization Percentage]" caption="Utilization Percentage" attribute="1" defaultMemberUniqueName="[Facttable_ridership].[Utilization Percentage].[All]" allUniqueName="[Facttable_ridership].[Utilization Percentage].[All]" dimensionUniqueName="[Facttable_ridership]" displayFolder="" count="0" memberValueDatatype="5" unbalanced="0"/>
    <cacheHierarchy uniqueName="[Facttable_ridership].[Bus Utilization Category]" caption="Bus Utilization Category" attribute="1" defaultMemberUniqueName="[Facttable_ridership].[Bus Utilization Category].[All]" allUniqueName="[Facttable_ridership].[Bus Utilization Category].[All]" dimensionUniqueName="[Facttable_ridership]" displayFolder="" count="0" memberValueDatatype="130" unbalanced="0"/>
    <cacheHierarchy uniqueName="[Facttable_ridership].[Time (Hour)]" caption="Time (Hour)" attribute="1" defaultMemberUniqueName="[Facttable_ridership].[Time (Hour)].[All]" allUniqueName="[Facttable_ridership].[Time (Hour)].[All]" dimensionUniqueName="[Facttable_ridership]" displayFolder="" count="0" memberValueDatatype="130" unbalanced="0"/>
    <cacheHierarchy uniqueName="[Facttable_ridership].[Time (Minute)]" caption="Time (Minute)" attribute="1" defaultMemberUniqueName="[Facttable_ridership].[Time (Minute)].[All]" allUniqueName="[Facttable_ridership].[Time (Minute)].[All]" dimensionUniqueName="[Facttable_ridership]" displayFolder="" count="0" memberValueDatatype="130" unbalanced="0"/>
    <cacheHierarchy uniqueName="[Measures].[Count of Date]" caption="Count of Date" measure="1" displayFolder="" measureGroup="Facttable_ridership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Age]" caption="Sum of Age" measure="1" displayFolder="" measureGroup="Dim_demographics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Age]" caption="Count of Age" measure="1" displayFolder="" measureGroup="Dim_demographics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BusID]" caption="Sum of BusID" measure="1" displayFolder="" measureGroup="Facttable_ridership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Count of BusID]" caption="Count of BusID" measure="1" displayFolder="" measureGroup="Facttable_ridership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NumberOfRiders]" caption="Sum of NumberOfRiders" measure="1" displayFolder="" measureGroup="Facttable_ridership" count="0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Average of NumberOfRiders]" caption="Average of NumberOfRiders" measure="1" displayFolder="" measureGroup="Facttable_ridership" count="0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Year]" caption="Sum of Year" measure="1" displayFolder="" measureGroup="Dim_DateTabl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Total Transaction]" caption="Total Transaction" measure="1" displayFolder="" measureGroup="Calculations" count="0"/>
    <cacheHierarchy uniqueName="[Measures].[Average Age]" caption="Average Age" measure="1" displayFolder="" measureGroup="Calculations" count="0"/>
    <cacheHierarchy uniqueName="[Measures].[Total Riders(Passengers)]" caption="Total Riders(Passengers)" measure="1" displayFolder="" measureGroup="Calculations" count="0" oneField="1">
      <fieldsUsage count="1">
        <fieldUsage x="0"/>
      </fieldsUsage>
    </cacheHierarchy>
    <cacheHierarchy uniqueName="[Measures].[Avg Riders Per Trip]" caption="Avg Riders Per Trip" measure="1" displayFolder="" measureGroup="Calculations" count="0"/>
    <cacheHierarchy uniqueName="[Measures].[Total Buses]" caption="Total Buses" measure="1" displayFolder="" measureGroup="Calculations" count="0"/>
    <cacheHierarchy uniqueName="[Measures].[__XL_Count Dim_buses]" caption="__XL_Count Dim_buses" measure="1" displayFolder="" measureGroup="Dim_buses" count="0" hidden="1"/>
    <cacheHierarchy uniqueName="[Measures].[__XL_Count Dim_demographics]" caption="__XL_Count Dim_demographics" measure="1" displayFolder="" measureGroup="Dim_demographics" count="0" hidden="1"/>
    <cacheHierarchy uniqueName="[Measures].[__XL_Count Dim_routes]" caption="__XL_Count Dim_routes" measure="1" displayFolder="" measureGroup="Dim_routes" count="0" hidden="1"/>
    <cacheHierarchy uniqueName="[Measures].[__XL_Count Facttable_ridership]" caption="__XL_Count Facttable_ridership" measure="1" displayFolder="" measureGroup="Facttable_ridership" count="0" hidden="1"/>
    <cacheHierarchy uniqueName="[Measures].[__XL_Count Dim_DateTable]" caption="__XL_Count Dim_DateTable" measure="1" displayFolder="" measureGroup="Dim_DateTable" count="0" hidden="1"/>
    <cacheHierarchy uniqueName="[Measures].[__XL_Count Calculations]" caption="__XL_Count Calculations" measure="1" displayFolder="" measureGroup="Calculations" count="0" hidden="1"/>
    <cacheHierarchy uniqueName="[Measures].[__No measures defined]" caption="__No measures defined" measure="1" displayFolder="" count="0" hidden="1"/>
  </cacheHierarchies>
  <kpis count="0"/>
  <dimensions count="7">
    <dimension name="Calculations" uniqueName="[Calculations]" caption="Calculations"/>
    <dimension name="Dim_buses" uniqueName="[Dim_buses]" caption="Dim_buses"/>
    <dimension name="Dim_DateTable" uniqueName="[Dim_DateTable]" caption="Dim_DateTable"/>
    <dimension name="Dim_demographics" uniqueName="[Dim_demographics]" caption="Dim_demographics"/>
    <dimension name="Dim_routes" uniqueName="[Dim_routes]" caption="Dim_routes"/>
    <dimension name="Facttable_ridership" uniqueName="[Facttable_ridership]" caption="Facttable_ridership"/>
    <dimension measure="1" name="Measures" uniqueName="[Measures]" caption="Measures"/>
  </dimensions>
  <measureGroups count="6">
    <measureGroup name="Calculations" caption="Calculations"/>
    <measureGroup name="Dim_buses" caption="Dim_buses"/>
    <measureGroup name="Dim_DateTable" caption="Dim_DateTable"/>
    <measureGroup name="Dim_demographics" caption="Dim_demographics"/>
    <measureGroup name="Dim_routes" caption="Dim_routes"/>
    <measureGroup name="Facttable_ridership" caption="Facttable_ridership"/>
  </measureGroups>
  <maps count="11">
    <map measureGroup="0" dimension="0"/>
    <map measureGroup="1" dimension="1"/>
    <map measureGroup="1" dimension="4"/>
    <map measureGroup="2" dimension="2"/>
    <map measureGroup="3" dimension="3"/>
    <map measureGroup="4" dimension="4"/>
    <map measureGroup="5" dimension="1"/>
    <map measureGroup="5" dimension="2"/>
    <map measureGroup="5" dimension="3"/>
    <map measureGroup="5" dimension="4"/>
    <map measureGroup="5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atyajeet Sahoo" refreshedDate="45970.479230787038" createdVersion="8" refreshedVersion="8" minRefreshableVersion="3" recordCount="0" supportSubquery="1" supportAdvancedDrill="1" xr:uid="{585BA4A3-9C77-48FE-B491-1FADDE0A493E}">
  <cacheSource type="external" connectionId="7"/>
  <cacheFields count="2">
    <cacheField name="[Measures].[Total Riders(Passengers)]" caption="Total Riders(Passengers)" numFmtId="0" hierarchy="47" level="32767"/>
    <cacheField name="[Dim_routes].[RouteName].[RouteName]" caption="RouteName" numFmtId="0" hierarchy="18" level="1">
      <sharedItems count="1">
        <s v="South Line"/>
      </sharedItems>
    </cacheField>
  </cacheFields>
  <cacheHierarchies count="57">
    <cacheHierarchy uniqueName="[Calculations].[Calculation]" caption="Calculation" attribute="1" defaultMemberUniqueName="[Calculations].[Calculation].[All]" allUniqueName="[Calculations].[Calculation].[All]" dimensionUniqueName="[Calculations]" displayFolder="" count="0" memberValueDatatype="20" unbalanced="0"/>
    <cacheHierarchy uniqueName="[Dim_buses].[BusID]" caption="BusID" attribute="1" defaultMemberUniqueName="[Dim_buses].[BusID].[All]" allUniqueName="[Dim_buses].[BusID].[All]" dimensionUniqueName="[Dim_buses]" displayFolder="" count="0" memberValueDatatype="20" unbalanced="0"/>
    <cacheHierarchy uniqueName="[Dim_buses].[RouteID]" caption="RouteID" attribute="1" defaultMemberUniqueName="[Dim_buses].[RouteID].[All]" allUniqueName="[Dim_buses].[RouteID].[All]" dimensionUniqueName="[Dim_buses]" displayFolder="" count="0" memberValueDatatype="20" unbalanced="0"/>
    <cacheHierarchy uniqueName="[Dim_buses].[BusNumber]" caption="BusNumber" attribute="1" defaultMemberUniqueName="[Dim_buses].[BusNumber].[All]" allUniqueName="[Dim_buses].[BusNumber].[All]" dimensionUniqueName="[Dim_buses]" displayFolder="" count="0" memberValueDatatype="130" unbalanced="0"/>
    <cacheHierarchy uniqueName="[Dim_buses].[Capacity]" caption="Capacity" attribute="1" defaultMemberUniqueName="[Dim_buses].[Capacity].[All]" allUniqueName="[Dim_buses].[Capacity].[All]" dimensionUniqueName="[Dim_buses]" displayFolder="" count="0" memberValueDatatype="20" unbalanced="0"/>
    <cacheHierarchy uniqueName="[Dim_DateTable].[Date]" caption="Date" attribute="1" time="1" defaultMemberUniqueName="[Dim_DateTable].[Date].[All]" allUniqueName="[Dim_DateTable].[Date].[All]" dimensionUniqueName="[Dim_DateTable]" displayFolder="" count="0" memberValueDatatype="7" unbalanced="0"/>
    <cacheHierarchy uniqueName="[Dim_DateTable].[Year]" caption="Year" attribute="1" defaultMemberUniqueName="[Dim_DateTable].[Year].[All]" allUniqueName="[Dim_DateTable].[Year].[All]" dimensionUniqueName="[Dim_DateTable]" displayFolder="" count="0" memberValueDatatype="20" unbalanced="0"/>
    <cacheHierarchy uniqueName="[Dim_DateTable].[Month Name]" caption="Month Name" attribute="1" defaultMemberUniqueName="[Dim_DateTable].[Month Name].[All]" allUniqueName="[Dim_DateTable].[Month Name].[All]" dimensionUniqueName="[Dim_DateTable]" displayFolder="" count="0" memberValueDatatype="130" unbalanced="0"/>
    <cacheHierarchy uniqueName="[Dim_DateTable].[Month Number]" caption="Month Number" attribute="1" defaultMemberUniqueName="[Dim_DateTable].[Month Number].[All]" allUniqueName="[Dim_DateTable].[Month Number].[All]" dimensionUniqueName="[Dim_DateTable]" displayFolder="" count="0" memberValueDatatype="20" unbalanced="0"/>
    <cacheHierarchy uniqueName="[Dim_DateTable].[Day Name]" caption="Day Name" attribute="1" defaultMemberUniqueName="[Dim_DateTable].[Day Name].[All]" allUniqueName="[Dim_DateTable].[Day Name].[All]" dimensionUniqueName="[Dim_DateTable]" displayFolder="" count="0" memberValueDatatype="130" unbalanced="0"/>
    <cacheHierarchy uniqueName="[Dim_DateTable].[Week Number]" caption="Week Number" attribute="1" defaultMemberUniqueName="[Dim_DateTable].[Week Number].[All]" allUniqueName="[Dim_DateTable].[Week Number].[All]" dimensionUniqueName="[Dim_DateTable]" displayFolder="" count="0" memberValueDatatype="20" unbalanced="0"/>
    <cacheHierarchy uniqueName="[Dim_DateTable].[Week Type]" caption="Week Type" attribute="1" defaultMemberUniqueName="[Dim_DateTable].[Week Type].[All]" allUniqueName="[Dim_DateTable].[Week Type].[All]" dimensionUniqueName="[Dim_DateTable]" displayFolder="" count="0" memberValueDatatype="130" unbalanced="0"/>
    <cacheHierarchy uniqueName="[Dim_demographics].[RiderID]" caption="RiderID" attribute="1" defaultMemberUniqueName="[Dim_demographics].[RiderID].[All]" allUniqueName="[Dim_demographics].[RiderID].[All]" dimensionUniqueName="[Dim_demographics]" displayFolder="" count="0" memberValueDatatype="20" unbalanced="0"/>
    <cacheHierarchy uniqueName="[Dim_demographics].[Age]" caption="Age" attribute="1" defaultMemberUniqueName="[Dim_demographics].[Age].[All]" allUniqueName="[Dim_demographics].[Age].[All]" dimensionUniqueName="[Dim_demographics]" displayFolder="" count="0" memberValueDatatype="20" unbalanced="0"/>
    <cacheHierarchy uniqueName="[Dim_demographics].[Age Bucket]" caption="Age Bucket" attribute="1" defaultMemberUniqueName="[Dim_demographics].[Age Bucket].[All]" allUniqueName="[Dim_demographics].[Age Bucket].[All]" dimensionUniqueName="[Dim_demographics]" displayFolder="" count="0" memberValueDatatype="130" unbalanced="0"/>
    <cacheHierarchy uniqueName="[Dim_demographics].[Gender]" caption="Gender" attribute="1" defaultMemberUniqueName="[Dim_demographics].[Gender].[All]" allUniqueName="[Dim_demographics].[Gender].[All]" dimensionUniqueName="[Dim_demographics]" displayFolder="" count="0" memberValueDatatype="130" unbalanced="0"/>
    <cacheHierarchy uniqueName="[Dim_demographics].[Occupation]" caption="Occupation" attribute="1" defaultMemberUniqueName="[Dim_demographics].[Occupation].[All]" allUniqueName="[Dim_demographics].[Occupation].[All]" dimensionUniqueName="[Dim_demographics]" displayFolder="" count="0" memberValueDatatype="130" unbalanced="0"/>
    <cacheHierarchy uniqueName="[Dim_routes].[RouteID]" caption="RouteID" attribute="1" defaultMemberUniqueName="[Dim_routes].[RouteID].[All]" allUniqueName="[Dim_routes].[RouteID].[All]" dimensionUniqueName="[Dim_routes]" displayFolder="" count="0" memberValueDatatype="20" unbalanced="0"/>
    <cacheHierarchy uniqueName="[Dim_routes].[RouteName]" caption="RouteName" attribute="1" defaultMemberUniqueName="[Dim_routes].[RouteName].[All]" allUniqueName="[Dim_routes].[RouteName].[All]" dimensionUniqueName="[Dim_routes]" displayFolder="" count="2" memberValueDatatype="130" unbalanced="0">
      <fieldsUsage count="2">
        <fieldUsage x="-1"/>
        <fieldUsage x="1"/>
      </fieldsUsage>
    </cacheHierarchy>
    <cacheHierarchy uniqueName="[Dim_routes].[StartLocation]" caption="StartLocation" attribute="1" defaultMemberUniqueName="[Dim_routes].[StartLocation].[All]" allUniqueName="[Dim_routes].[StartLocation].[All]" dimensionUniqueName="[Dim_routes]" displayFolder="" count="0" memberValueDatatype="130" unbalanced="0"/>
    <cacheHierarchy uniqueName="[Dim_routes].[EndLocation]" caption="EndLocation" attribute="1" defaultMemberUniqueName="[Dim_routes].[EndLocation].[All]" allUniqueName="[Dim_routes].[EndLocation].[All]" dimensionUniqueName="[Dim_routes]" displayFolder="" count="0" memberValueDatatype="130" unbalanced="0"/>
    <cacheHierarchy uniqueName="[Dim_routes].[TripFee]" caption="TripFee" attribute="1" defaultMemberUniqueName="[Dim_routes].[TripFee].[All]" allUniqueName="[Dim_routes].[TripFee].[All]" dimensionUniqueName="[Dim_routes]" displayFolder="" count="0" memberValueDatatype="20" unbalanced="0"/>
    <cacheHierarchy uniqueName="[Dim_routes].[TakeOffTime]" caption="TakeOffTime" attribute="1" time="1" defaultMemberUniqueName="[Dim_routes].[TakeOffTime].[All]" allUniqueName="[Dim_routes].[TakeOffTime].[All]" dimensionUniqueName="[Dim_routes]" displayFolder="" count="0" memberValueDatatype="7" unbalanced="0"/>
    <cacheHierarchy uniqueName="[Dim_routes].[ArrivalTime]" caption="ArrivalTime" attribute="1" time="1" defaultMemberUniqueName="[Dim_routes].[ArrivalTime].[All]" allUniqueName="[Dim_routes].[ArrivalTime].[All]" dimensionUniqueName="[Dim_routes]" displayFolder="" count="0" memberValueDatatype="7" unbalanced="0"/>
    <cacheHierarchy uniqueName="[Facttable_ridership].[RecordID]" caption="RecordID" attribute="1" defaultMemberUniqueName="[Facttable_ridership].[RecordID].[All]" allUniqueName="[Facttable_ridership].[RecordID].[All]" dimensionUniqueName="[Facttable_ridership]" displayFolder="" count="0" memberValueDatatype="20" unbalanced="0"/>
    <cacheHierarchy uniqueName="[Facttable_ridership].[BusID]" caption="BusID" attribute="1" defaultMemberUniqueName="[Facttable_ridership].[BusID].[All]" allUniqueName="[Facttable_ridership].[BusID].[All]" dimensionUniqueName="[Facttable_ridership]" displayFolder="" count="0" memberValueDatatype="20" unbalanced="0"/>
    <cacheHierarchy uniqueName="[Facttable_ridership].[Date]" caption="Date" attribute="1" time="1" defaultMemberUniqueName="[Facttable_ridership].[Date].[All]" allUniqueName="[Facttable_ridership].[Date].[All]" dimensionUniqueName="[Facttable_ridership]" displayFolder="" count="0" memberValueDatatype="7" unbalanced="0"/>
    <cacheHierarchy uniqueName="[Facttable_ridership].[Time]" caption="Time" attribute="1" time="1" defaultMemberUniqueName="[Facttable_ridership].[Time].[All]" allUniqueName="[Facttable_ridership].[Time].[All]" dimensionUniqueName="[Facttable_ridership]" displayFolder="" count="0" memberValueDatatype="7" unbalanced="0"/>
    <cacheHierarchy uniqueName="[Facttable_ridership].[Operation Moment]" caption="Operation Moment" attribute="1" defaultMemberUniqueName="[Facttable_ridership].[Operation Moment].[All]" allUniqueName="[Facttable_ridership].[Operation Moment].[All]" dimensionUniqueName="[Facttable_ridership]" displayFolder="" count="0" memberValueDatatype="130" unbalanced="0"/>
    <cacheHierarchy uniqueName="[Facttable_ridership].[Time Group]" caption="Time Group" attribute="1" defaultMemberUniqueName="[Facttable_ridership].[Time Group].[All]" allUniqueName="[Facttable_ridership].[Time Group].[All]" dimensionUniqueName="[Facttable_ridership]" displayFolder="" count="0" memberValueDatatype="130" unbalanced="0"/>
    <cacheHierarchy uniqueName="[Facttable_ridership].[NumberOfRiders]" caption="NumberOfRiders" attribute="1" defaultMemberUniqueName="[Facttable_ridership].[NumberOfRiders].[All]" allUniqueName="[Facttable_ridership].[NumberOfRiders].[All]" dimensionUniqueName="[Facttable_ridership]" displayFolder="" count="0" memberValueDatatype="20" unbalanced="0"/>
    <cacheHierarchy uniqueName="[Facttable_ridership].[RiderID]" caption="RiderID" attribute="1" defaultMemberUniqueName="[Facttable_ridership].[RiderID].[All]" allUniqueName="[Facttable_ridership].[RiderID].[All]" dimensionUniqueName="[Facttable_ridership]" displayFolder="" count="0" memberValueDatatype="20" unbalanced="0"/>
    <cacheHierarchy uniqueName="[Facttable_ridership].[Capacity]" caption="Capacity" attribute="1" defaultMemberUniqueName="[Facttable_ridership].[Capacity].[All]" allUniqueName="[Facttable_ridership].[Capacity].[All]" dimensionUniqueName="[Facttable_ridership]" displayFolder="" count="0" memberValueDatatype="20" unbalanced="0"/>
    <cacheHierarchy uniqueName="[Facttable_ridership].[Utilization Percentage]" caption="Utilization Percentage" attribute="1" defaultMemberUniqueName="[Facttable_ridership].[Utilization Percentage].[All]" allUniqueName="[Facttable_ridership].[Utilization Percentage].[All]" dimensionUniqueName="[Facttable_ridership]" displayFolder="" count="0" memberValueDatatype="5" unbalanced="0"/>
    <cacheHierarchy uniqueName="[Facttable_ridership].[Bus Utilization Category]" caption="Bus Utilization Category" attribute="1" defaultMemberUniqueName="[Facttable_ridership].[Bus Utilization Category].[All]" allUniqueName="[Facttable_ridership].[Bus Utilization Category].[All]" dimensionUniqueName="[Facttable_ridership]" displayFolder="" count="0" memberValueDatatype="130" unbalanced="0"/>
    <cacheHierarchy uniqueName="[Facttable_ridership].[Time (Hour)]" caption="Time (Hour)" attribute="1" defaultMemberUniqueName="[Facttable_ridership].[Time (Hour)].[All]" allUniqueName="[Facttable_ridership].[Time (Hour)].[All]" dimensionUniqueName="[Facttable_ridership]" displayFolder="" count="0" memberValueDatatype="130" unbalanced="0"/>
    <cacheHierarchy uniqueName="[Facttable_ridership].[Time (Minute)]" caption="Time (Minute)" attribute="1" defaultMemberUniqueName="[Facttable_ridership].[Time (Minute)].[All]" allUniqueName="[Facttable_ridership].[Time (Minute)].[All]" dimensionUniqueName="[Facttable_ridership]" displayFolder="" count="0" memberValueDatatype="130" unbalanced="0"/>
    <cacheHierarchy uniqueName="[Measures].[Count of Date]" caption="Count of Date" measure="1" displayFolder="" measureGroup="Facttable_ridership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Age]" caption="Sum of Age" measure="1" displayFolder="" measureGroup="Dim_demographics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Age]" caption="Count of Age" measure="1" displayFolder="" measureGroup="Dim_demographics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BusID]" caption="Sum of BusID" measure="1" displayFolder="" measureGroup="Facttable_ridership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Count of BusID]" caption="Count of BusID" measure="1" displayFolder="" measureGroup="Facttable_ridership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NumberOfRiders]" caption="Sum of NumberOfRiders" measure="1" displayFolder="" measureGroup="Facttable_ridership" count="0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Average of NumberOfRiders]" caption="Average of NumberOfRiders" measure="1" displayFolder="" measureGroup="Facttable_ridership" count="0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Year]" caption="Sum of Year" measure="1" displayFolder="" measureGroup="Dim_DateTabl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Total Transaction]" caption="Total Transaction" measure="1" displayFolder="" measureGroup="Calculations" count="0"/>
    <cacheHierarchy uniqueName="[Measures].[Average Age]" caption="Average Age" measure="1" displayFolder="" measureGroup="Calculations" count="0"/>
    <cacheHierarchy uniqueName="[Measures].[Total Riders(Passengers)]" caption="Total Riders(Passengers)" measure="1" displayFolder="" measureGroup="Calculations" count="0" oneField="1">
      <fieldsUsage count="1">
        <fieldUsage x="0"/>
      </fieldsUsage>
    </cacheHierarchy>
    <cacheHierarchy uniqueName="[Measures].[Avg Riders Per Trip]" caption="Avg Riders Per Trip" measure="1" displayFolder="" measureGroup="Calculations" count="0"/>
    <cacheHierarchy uniqueName="[Measures].[Total Buses]" caption="Total Buses" measure="1" displayFolder="" measureGroup="Calculations" count="0"/>
    <cacheHierarchy uniqueName="[Measures].[__XL_Count Dim_buses]" caption="__XL_Count Dim_buses" measure="1" displayFolder="" measureGroup="Dim_buses" count="0" hidden="1"/>
    <cacheHierarchy uniqueName="[Measures].[__XL_Count Dim_demographics]" caption="__XL_Count Dim_demographics" measure="1" displayFolder="" measureGroup="Dim_demographics" count="0" hidden="1"/>
    <cacheHierarchy uniqueName="[Measures].[__XL_Count Dim_routes]" caption="__XL_Count Dim_routes" measure="1" displayFolder="" measureGroup="Dim_routes" count="0" hidden="1"/>
    <cacheHierarchy uniqueName="[Measures].[__XL_Count Facttable_ridership]" caption="__XL_Count Facttable_ridership" measure="1" displayFolder="" measureGroup="Facttable_ridership" count="0" hidden="1"/>
    <cacheHierarchy uniqueName="[Measures].[__XL_Count Dim_DateTable]" caption="__XL_Count Dim_DateTable" measure="1" displayFolder="" measureGroup="Dim_DateTable" count="0" hidden="1"/>
    <cacheHierarchy uniqueName="[Measures].[__XL_Count Calculations]" caption="__XL_Count Calculations" measure="1" displayFolder="" measureGroup="Calculations" count="0" hidden="1"/>
    <cacheHierarchy uniqueName="[Measures].[__No measures defined]" caption="__No measures defined" measure="1" displayFolder="" count="0" hidden="1"/>
  </cacheHierarchies>
  <kpis count="0"/>
  <dimensions count="7">
    <dimension name="Calculations" uniqueName="[Calculations]" caption="Calculations"/>
    <dimension name="Dim_buses" uniqueName="[Dim_buses]" caption="Dim_buses"/>
    <dimension name="Dim_DateTable" uniqueName="[Dim_DateTable]" caption="Dim_DateTable"/>
    <dimension name="Dim_demographics" uniqueName="[Dim_demographics]" caption="Dim_demographics"/>
    <dimension name="Dim_routes" uniqueName="[Dim_routes]" caption="Dim_routes"/>
    <dimension name="Facttable_ridership" uniqueName="[Facttable_ridership]" caption="Facttable_ridership"/>
    <dimension measure="1" name="Measures" uniqueName="[Measures]" caption="Measures"/>
  </dimensions>
  <measureGroups count="6">
    <measureGroup name="Calculations" caption="Calculations"/>
    <measureGroup name="Dim_buses" caption="Dim_buses"/>
    <measureGroup name="Dim_DateTable" caption="Dim_DateTable"/>
    <measureGroup name="Dim_demographics" caption="Dim_demographics"/>
    <measureGroup name="Dim_routes" caption="Dim_routes"/>
    <measureGroup name="Facttable_ridership" caption="Facttable_ridership"/>
  </measureGroups>
  <maps count="11">
    <map measureGroup="0" dimension="0"/>
    <map measureGroup="1" dimension="1"/>
    <map measureGroup="1" dimension="4"/>
    <map measureGroup="2" dimension="2"/>
    <map measureGroup="3" dimension="3"/>
    <map measureGroup="4" dimension="4"/>
    <map measureGroup="5" dimension="1"/>
    <map measureGroup="5" dimension="2"/>
    <map measureGroup="5" dimension="3"/>
    <map measureGroup="5" dimension="4"/>
    <map measureGroup="5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atyajeet Sahoo" refreshedDate="45970.479232060185" createdVersion="8" refreshedVersion="8" minRefreshableVersion="3" recordCount="0" supportSubquery="1" supportAdvancedDrill="1" xr:uid="{42062A97-0660-46DE-AD35-40913EB39F07}">
  <cacheSource type="external" connectionId="7"/>
  <cacheFields count="3">
    <cacheField name="[Measures].[Total Riders(Passengers)]" caption="Total Riders(Passengers)" numFmtId="0" hierarchy="47" level="32767"/>
    <cacheField name="[Dim_routes].[RouteName].[RouteName]" caption="RouteName" numFmtId="0" hierarchy="18" level="1">
      <sharedItems count="1">
        <s v="East-West Express"/>
      </sharedItems>
    </cacheField>
    <cacheField name="[Facttable_ridership].[Time Group].[Time Group]" caption="Time Group" numFmtId="0" hierarchy="29" level="1">
      <sharedItems count="6">
        <s v="12:00 PM - 3:00 PM"/>
        <s v="3:00 PM - 6:00 PM"/>
        <s v="6:00 AM - 9:00 AM"/>
        <s v="6:00 PM - 9:00 PM"/>
        <s v="9:00 AM - 12:00 PM"/>
        <s v="9:00 PM - 12:00 AM"/>
      </sharedItems>
    </cacheField>
  </cacheFields>
  <cacheHierarchies count="57">
    <cacheHierarchy uniqueName="[Calculations].[Calculation]" caption="Calculation" attribute="1" defaultMemberUniqueName="[Calculations].[Calculation].[All]" allUniqueName="[Calculations].[Calculation].[All]" dimensionUniqueName="[Calculations]" displayFolder="" count="0" memberValueDatatype="20" unbalanced="0"/>
    <cacheHierarchy uniqueName="[Dim_buses].[BusID]" caption="BusID" attribute="1" defaultMemberUniqueName="[Dim_buses].[BusID].[All]" allUniqueName="[Dim_buses].[BusID].[All]" dimensionUniqueName="[Dim_buses]" displayFolder="" count="0" memberValueDatatype="20" unbalanced="0"/>
    <cacheHierarchy uniqueName="[Dim_buses].[RouteID]" caption="RouteID" attribute="1" defaultMemberUniqueName="[Dim_buses].[RouteID].[All]" allUniqueName="[Dim_buses].[RouteID].[All]" dimensionUniqueName="[Dim_buses]" displayFolder="" count="0" memberValueDatatype="20" unbalanced="0"/>
    <cacheHierarchy uniqueName="[Dim_buses].[BusNumber]" caption="BusNumber" attribute="1" defaultMemberUniqueName="[Dim_buses].[BusNumber].[All]" allUniqueName="[Dim_buses].[BusNumber].[All]" dimensionUniqueName="[Dim_buses]" displayFolder="" count="0" memberValueDatatype="130" unbalanced="0"/>
    <cacheHierarchy uniqueName="[Dim_buses].[Capacity]" caption="Capacity" attribute="1" defaultMemberUniqueName="[Dim_buses].[Capacity].[All]" allUniqueName="[Dim_buses].[Capacity].[All]" dimensionUniqueName="[Dim_buses]" displayFolder="" count="0" memberValueDatatype="20" unbalanced="0"/>
    <cacheHierarchy uniqueName="[Dim_DateTable].[Date]" caption="Date" attribute="1" time="1" defaultMemberUniqueName="[Dim_DateTable].[Date].[All]" allUniqueName="[Dim_DateTable].[Date].[All]" dimensionUniqueName="[Dim_DateTable]" displayFolder="" count="0" memberValueDatatype="7" unbalanced="0"/>
    <cacheHierarchy uniqueName="[Dim_DateTable].[Year]" caption="Year" attribute="1" defaultMemberUniqueName="[Dim_DateTable].[Year].[All]" allUniqueName="[Dim_DateTable].[Year].[All]" dimensionUniqueName="[Dim_DateTable]" displayFolder="" count="0" memberValueDatatype="20" unbalanced="0"/>
    <cacheHierarchy uniqueName="[Dim_DateTable].[Month Name]" caption="Month Name" attribute="1" defaultMemberUniqueName="[Dim_DateTable].[Month Name].[All]" allUniqueName="[Dim_DateTable].[Month Name].[All]" dimensionUniqueName="[Dim_DateTable]" displayFolder="" count="0" memberValueDatatype="130" unbalanced="0"/>
    <cacheHierarchy uniqueName="[Dim_DateTable].[Month Number]" caption="Month Number" attribute="1" defaultMemberUniqueName="[Dim_DateTable].[Month Number].[All]" allUniqueName="[Dim_DateTable].[Month Number].[All]" dimensionUniqueName="[Dim_DateTable]" displayFolder="" count="0" memberValueDatatype="20" unbalanced="0"/>
    <cacheHierarchy uniqueName="[Dim_DateTable].[Day Name]" caption="Day Name" attribute="1" defaultMemberUniqueName="[Dim_DateTable].[Day Name].[All]" allUniqueName="[Dim_DateTable].[Day Name].[All]" dimensionUniqueName="[Dim_DateTable]" displayFolder="" count="0" memberValueDatatype="130" unbalanced="0"/>
    <cacheHierarchy uniqueName="[Dim_DateTable].[Week Number]" caption="Week Number" attribute="1" defaultMemberUniqueName="[Dim_DateTable].[Week Number].[All]" allUniqueName="[Dim_DateTable].[Week Number].[All]" dimensionUniqueName="[Dim_DateTable]" displayFolder="" count="0" memberValueDatatype="20" unbalanced="0"/>
    <cacheHierarchy uniqueName="[Dim_DateTable].[Week Type]" caption="Week Type" attribute="1" defaultMemberUniqueName="[Dim_DateTable].[Week Type].[All]" allUniqueName="[Dim_DateTable].[Week Type].[All]" dimensionUniqueName="[Dim_DateTable]" displayFolder="" count="0" memberValueDatatype="130" unbalanced="0"/>
    <cacheHierarchy uniqueName="[Dim_demographics].[RiderID]" caption="RiderID" attribute="1" defaultMemberUniqueName="[Dim_demographics].[RiderID].[All]" allUniqueName="[Dim_demographics].[RiderID].[All]" dimensionUniqueName="[Dim_demographics]" displayFolder="" count="0" memberValueDatatype="20" unbalanced="0"/>
    <cacheHierarchy uniqueName="[Dim_demographics].[Age]" caption="Age" attribute="1" defaultMemberUniqueName="[Dim_demographics].[Age].[All]" allUniqueName="[Dim_demographics].[Age].[All]" dimensionUniqueName="[Dim_demographics]" displayFolder="" count="0" memberValueDatatype="20" unbalanced="0"/>
    <cacheHierarchy uniqueName="[Dim_demographics].[Age Bucket]" caption="Age Bucket" attribute="1" defaultMemberUniqueName="[Dim_demographics].[Age Bucket].[All]" allUniqueName="[Dim_demographics].[Age Bucket].[All]" dimensionUniqueName="[Dim_demographics]" displayFolder="" count="0" memberValueDatatype="130" unbalanced="0"/>
    <cacheHierarchy uniqueName="[Dim_demographics].[Gender]" caption="Gender" attribute="1" defaultMemberUniqueName="[Dim_demographics].[Gender].[All]" allUniqueName="[Dim_demographics].[Gender].[All]" dimensionUniqueName="[Dim_demographics]" displayFolder="" count="0" memberValueDatatype="130" unbalanced="0"/>
    <cacheHierarchy uniqueName="[Dim_demographics].[Occupation]" caption="Occupation" attribute="1" defaultMemberUniqueName="[Dim_demographics].[Occupation].[All]" allUniqueName="[Dim_demographics].[Occupation].[All]" dimensionUniqueName="[Dim_demographics]" displayFolder="" count="0" memberValueDatatype="130" unbalanced="0"/>
    <cacheHierarchy uniqueName="[Dim_routes].[RouteID]" caption="RouteID" attribute="1" defaultMemberUniqueName="[Dim_routes].[RouteID].[All]" allUniqueName="[Dim_routes].[RouteID].[All]" dimensionUniqueName="[Dim_routes]" displayFolder="" count="0" memberValueDatatype="20" unbalanced="0"/>
    <cacheHierarchy uniqueName="[Dim_routes].[RouteName]" caption="RouteName" attribute="1" defaultMemberUniqueName="[Dim_routes].[RouteName].[All]" allUniqueName="[Dim_routes].[RouteName].[All]" dimensionUniqueName="[Dim_routes]" displayFolder="" count="2" memberValueDatatype="130" unbalanced="0">
      <fieldsUsage count="2">
        <fieldUsage x="-1"/>
        <fieldUsage x="1"/>
      </fieldsUsage>
    </cacheHierarchy>
    <cacheHierarchy uniqueName="[Dim_routes].[StartLocation]" caption="StartLocation" attribute="1" defaultMemberUniqueName="[Dim_routes].[StartLocation].[All]" allUniqueName="[Dim_routes].[StartLocation].[All]" dimensionUniqueName="[Dim_routes]" displayFolder="" count="0" memberValueDatatype="130" unbalanced="0"/>
    <cacheHierarchy uniqueName="[Dim_routes].[EndLocation]" caption="EndLocation" attribute="1" defaultMemberUniqueName="[Dim_routes].[EndLocation].[All]" allUniqueName="[Dim_routes].[EndLocation].[All]" dimensionUniqueName="[Dim_routes]" displayFolder="" count="0" memberValueDatatype="130" unbalanced="0"/>
    <cacheHierarchy uniqueName="[Dim_routes].[TripFee]" caption="TripFee" attribute="1" defaultMemberUniqueName="[Dim_routes].[TripFee].[All]" allUniqueName="[Dim_routes].[TripFee].[All]" dimensionUniqueName="[Dim_routes]" displayFolder="" count="0" memberValueDatatype="20" unbalanced="0"/>
    <cacheHierarchy uniqueName="[Dim_routes].[TakeOffTime]" caption="TakeOffTime" attribute="1" time="1" defaultMemberUniqueName="[Dim_routes].[TakeOffTime].[All]" allUniqueName="[Dim_routes].[TakeOffTime].[All]" dimensionUniqueName="[Dim_routes]" displayFolder="" count="0" memberValueDatatype="7" unbalanced="0"/>
    <cacheHierarchy uniqueName="[Dim_routes].[ArrivalTime]" caption="ArrivalTime" attribute="1" time="1" defaultMemberUniqueName="[Dim_routes].[ArrivalTime].[All]" allUniqueName="[Dim_routes].[ArrivalTime].[All]" dimensionUniqueName="[Dim_routes]" displayFolder="" count="0" memberValueDatatype="7" unbalanced="0"/>
    <cacheHierarchy uniqueName="[Facttable_ridership].[RecordID]" caption="RecordID" attribute="1" defaultMemberUniqueName="[Facttable_ridership].[RecordID].[All]" allUniqueName="[Facttable_ridership].[RecordID].[All]" dimensionUniqueName="[Facttable_ridership]" displayFolder="" count="0" memberValueDatatype="20" unbalanced="0"/>
    <cacheHierarchy uniqueName="[Facttable_ridership].[BusID]" caption="BusID" attribute="1" defaultMemberUniqueName="[Facttable_ridership].[BusID].[All]" allUniqueName="[Facttable_ridership].[BusID].[All]" dimensionUniqueName="[Facttable_ridership]" displayFolder="" count="0" memberValueDatatype="20" unbalanced="0"/>
    <cacheHierarchy uniqueName="[Facttable_ridership].[Date]" caption="Date" attribute="1" time="1" defaultMemberUniqueName="[Facttable_ridership].[Date].[All]" allUniqueName="[Facttable_ridership].[Date].[All]" dimensionUniqueName="[Facttable_ridership]" displayFolder="" count="0" memberValueDatatype="7" unbalanced="0"/>
    <cacheHierarchy uniqueName="[Facttable_ridership].[Time]" caption="Time" attribute="1" time="1" defaultMemberUniqueName="[Facttable_ridership].[Time].[All]" allUniqueName="[Facttable_ridership].[Time].[All]" dimensionUniqueName="[Facttable_ridership]" displayFolder="" count="0" memberValueDatatype="7" unbalanced="0"/>
    <cacheHierarchy uniqueName="[Facttable_ridership].[Operation Moment]" caption="Operation Moment" attribute="1" defaultMemberUniqueName="[Facttable_ridership].[Operation Moment].[All]" allUniqueName="[Facttable_ridership].[Operation Moment].[All]" dimensionUniqueName="[Facttable_ridership]" displayFolder="" count="0" memberValueDatatype="130" unbalanced="0"/>
    <cacheHierarchy uniqueName="[Facttable_ridership].[Time Group]" caption="Time Group" attribute="1" defaultMemberUniqueName="[Facttable_ridership].[Time Group].[All]" allUniqueName="[Facttable_ridership].[Time Group].[All]" dimensionUniqueName="[Facttable_ridership]" displayFolder="" count="2" memberValueDatatype="130" unbalanced="0">
      <fieldsUsage count="2">
        <fieldUsage x="-1"/>
        <fieldUsage x="2"/>
      </fieldsUsage>
    </cacheHierarchy>
    <cacheHierarchy uniqueName="[Facttable_ridership].[NumberOfRiders]" caption="NumberOfRiders" attribute="1" defaultMemberUniqueName="[Facttable_ridership].[NumberOfRiders].[All]" allUniqueName="[Facttable_ridership].[NumberOfRiders].[All]" dimensionUniqueName="[Facttable_ridership]" displayFolder="" count="0" memberValueDatatype="20" unbalanced="0"/>
    <cacheHierarchy uniqueName="[Facttable_ridership].[RiderID]" caption="RiderID" attribute="1" defaultMemberUniqueName="[Facttable_ridership].[RiderID].[All]" allUniqueName="[Facttable_ridership].[RiderID].[All]" dimensionUniqueName="[Facttable_ridership]" displayFolder="" count="0" memberValueDatatype="20" unbalanced="0"/>
    <cacheHierarchy uniqueName="[Facttable_ridership].[Capacity]" caption="Capacity" attribute="1" defaultMemberUniqueName="[Facttable_ridership].[Capacity].[All]" allUniqueName="[Facttable_ridership].[Capacity].[All]" dimensionUniqueName="[Facttable_ridership]" displayFolder="" count="0" memberValueDatatype="20" unbalanced="0"/>
    <cacheHierarchy uniqueName="[Facttable_ridership].[Utilization Percentage]" caption="Utilization Percentage" attribute="1" defaultMemberUniqueName="[Facttable_ridership].[Utilization Percentage].[All]" allUniqueName="[Facttable_ridership].[Utilization Percentage].[All]" dimensionUniqueName="[Facttable_ridership]" displayFolder="" count="0" memberValueDatatype="5" unbalanced="0"/>
    <cacheHierarchy uniqueName="[Facttable_ridership].[Bus Utilization Category]" caption="Bus Utilization Category" attribute="1" defaultMemberUniqueName="[Facttable_ridership].[Bus Utilization Category].[All]" allUniqueName="[Facttable_ridership].[Bus Utilization Category].[All]" dimensionUniqueName="[Facttable_ridership]" displayFolder="" count="0" memberValueDatatype="130" unbalanced="0"/>
    <cacheHierarchy uniqueName="[Facttable_ridership].[Time (Hour)]" caption="Time (Hour)" attribute="1" defaultMemberUniqueName="[Facttable_ridership].[Time (Hour)].[All]" allUniqueName="[Facttable_ridership].[Time (Hour)].[All]" dimensionUniqueName="[Facttable_ridership]" displayFolder="" count="0" memberValueDatatype="130" unbalanced="0"/>
    <cacheHierarchy uniqueName="[Facttable_ridership].[Time (Minute)]" caption="Time (Minute)" attribute="1" defaultMemberUniqueName="[Facttable_ridership].[Time (Minute)].[All]" allUniqueName="[Facttable_ridership].[Time (Minute)].[All]" dimensionUniqueName="[Facttable_ridership]" displayFolder="" count="0" memberValueDatatype="130" unbalanced="0"/>
    <cacheHierarchy uniqueName="[Measures].[Count of Date]" caption="Count of Date" measure="1" displayFolder="" measureGroup="Facttable_ridership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Age]" caption="Sum of Age" measure="1" displayFolder="" measureGroup="Dim_demographics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Age]" caption="Count of Age" measure="1" displayFolder="" measureGroup="Dim_demographics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BusID]" caption="Sum of BusID" measure="1" displayFolder="" measureGroup="Facttable_ridership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Count of BusID]" caption="Count of BusID" measure="1" displayFolder="" measureGroup="Facttable_ridership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NumberOfRiders]" caption="Sum of NumberOfRiders" measure="1" displayFolder="" measureGroup="Facttable_ridership" count="0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Average of NumberOfRiders]" caption="Average of NumberOfRiders" measure="1" displayFolder="" measureGroup="Facttable_ridership" count="0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Year]" caption="Sum of Year" measure="1" displayFolder="" measureGroup="Dim_DateTabl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Total Transaction]" caption="Total Transaction" measure="1" displayFolder="" measureGroup="Calculations" count="0"/>
    <cacheHierarchy uniqueName="[Measures].[Average Age]" caption="Average Age" measure="1" displayFolder="" measureGroup="Calculations" count="0"/>
    <cacheHierarchy uniqueName="[Measures].[Total Riders(Passengers)]" caption="Total Riders(Passengers)" measure="1" displayFolder="" measureGroup="Calculations" count="0" oneField="1">
      <fieldsUsage count="1">
        <fieldUsage x="0"/>
      </fieldsUsage>
    </cacheHierarchy>
    <cacheHierarchy uniqueName="[Measures].[Avg Riders Per Trip]" caption="Avg Riders Per Trip" measure="1" displayFolder="" measureGroup="Calculations" count="0"/>
    <cacheHierarchy uniqueName="[Measures].[Total Buses]" caption="Total Buses" measure="1" displayFolder="" measureGroup="Calculations" count="0"/>
    <cacheHierarchy uniqueName="[Measures].[__XL_Count Dim_buses]" caption="__XL_Count Dim_buses" measure="1" displayFolder="" measureGroup="Dim_buses" count="0" hidden="1"/>
    <cacheHierarchy uniqueName="[Measures].[__XL_Count Dim_demographics]" caption="__XL_Count Dim_demographics" measure="1" displayFolder="" measureGroup="Dim_demographics" count="0" hidden="1"/>
    <cacheHierarchy uniqueName="[Measures].[__XL_Count Dim_routes]" caption="__XL_Count Dim_routes" measure="1" displayFolder="" measureGroup="Dim_routes" count="0" hidden="1"/>
    <cacheHierarchy uniqueName="[Measures].[__XL_Count Facttable_ridership]" caption="__XL_Count Facttable_ridership" measure="1" displayFolder="" measureGroup="Facttable_ridership" count="0" hidden="1"/>
    <cacheHierarchy uniqueName="[Measures].[__XL_Count Dim_DateTable]" caption="__XL_Count Dim_DateTable" measure="1" displayFolder="" measureGroup="Dim_DateTable" count="0" hidden="1"/>
    <cacheHierarchy uniqueName="[Measures].[__XL_Count Calculations]" caption="__XL_Count Calculations" measure="1" displayFolder="" measureGroup="Calculations" count="0" hidden="1"/>
    <cacheHierarchy uniqueName="[Measures].[__No measures defined]" caption="__No measures defined" measure="1" displayFolder="" count="0" hidden="1"/>
  </cacheHierarchies>
  <kpis count="0"/>
  <dimensions count="7">
    <dimension name="Calculations" uniqueName="[Calculations]" caption="Calculations"/>
    <dimension name="Dim_buses" uniqueName="[Dim_buses]" caption="Dim_buses"/>
    <dimension name="Dim_DateTable" uniqueName="[Dim_DateTable]" caption="Dim_DateTable"/>
    <dimension name="Dim_demographics" uniqueName="[Dim_demographics]" caption="Dim_demographics"/>
    <dimension name="Dim_routes" uniqueName="[Dim_routes]" caption="Dim_routes"/>
    <dimension name="Facttable_ridership" uniqueName="[Facttable_ridership]" caption="Facttable_ridership"/>
    <dimension measure="1" name="Measures" uniqueName="[Measures]" caption="Measures"/>
  </dimensions>
  <measureGroups count="6">
    <measureGroup name="Calculations" caption="Calculations"/>
    <measureGroup name="Dim_buses" caption="Dim_buses"/>
    <measureGroup name="Dim_DateTable" caption="Dim_DateTable"/>
    <measureGroup name="Dim_demographics" caption="Dim_demographics"/>
    <measureGroup name="Dim_routes" caption="Dim_routes"/>
    <measureGroup name="Facttable_ridership" caption="Facttable_ridership"/>
  </measureGroups>
  <maps count="11">
    <map measureGroup="0" dimension="0"/>
    <map measureGroup="1" dimension="1"/>
    <map measureGroup="1" dimension="4"/>
    <map measureGroup="2" dimension="2"/>
    <map measureGroup="3" dimension="3"/>
    <map measureGroup="4" dimension="4"/>
    <map measureGroup="5" dimension="1"/>
    <map measureGroup="5" dimension="2"/>
    <map measureGroup="5" dimension="3"/>
    <map measureGroup="5" dimension="4"/>
    <map measureGroup="5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atyajeet Sahoo" refreshedDate="45970.479233333332" createdVersion="8" refreshedVersion="8" minRefreshableVersion="3" recordCount="0" supportSubquery="1" supportAdvancedDrill="1" xr:uid="{AA8982D5-61C5-423F-8C6C-5E9343D8BCD2}">
  <cacheSource type="external" connectionId="7"/>
  <cacheFields count="4">
    <cacheField name="[Measures].[Total Riders(Passengers)]" caption="Total Riders(Passengers)" numFmtId="0" hierarchy="47" level="32767"/>
    <cacheField name="[Dim_routes].[RouteName].[RouteName]" caption="RouteName" numFmtId="0" hierarchy="18" level="1">
      <sharedItems count="1">
        <s v="East-West Express"/>
      </sharedItems>
    </cacheField>
    <cacheField name="[Facttable_ridership].[Time Group].[Time Group]" caption="Time Group" numFmtId="0" hierarchy="29" level="1">
      <sharedItems count="6">
        <s v="12:00 PM - 3:00 PM"/>
        <s v="3:00 PM - 6:00 PM"/>
        <s v="6:00 AM - 9:00 AM"/>
        <s v="6:00 PM - 9:00 PM"/>
        <s v="9:00 AM - 12:00 PM"/>
        <s v="9:00 PM - 12:00 AM"/>
      </sharedItems>
    </cacheField>
    <cacheField name="[Facttable_ridership].[Time].[Time]" caption="Time" numFmtId="0" hierarchy="27" level="1">
      <sharedItems containsSemiMixedTypes="0" containsNonDate="0" containsDate="1" containsString="0" minDate="1899-12-30T11:41:00" maxDate="1899-12-30T11:41:00" count="1">
        <d v="1899-12-30T11:41:00"/>
      </sharedItems>
      <extLst>
        <ext xmlns:x15="http://schemas.microsoft.com/office/spreadsheetml/2010/11/main" uri="{4F2E5C28-24EA-4eb8-9CBF-B6C8F9C3D259}">
          <x15:cachedUniqueNames>
            <x15:cachedUniqueName index="0" name="[Facttable_ridership].[Time].&amp;[1899-12-30T11:41:00]"/>
          </x15:cachedUniqueNames>
        </ext>
      </extLst>
    </cacheField>
  </cacheFields>
  <cacheHierarchies count="57">
    <cacheHierarchy uniqueName="[Calculations].[Calculation]" caption="Calculation" attribute="1" defaultMemberUniqueName="[Calculations].[Calculation].[All]" allUniqueName="[Calculations].[Calculation].[All]" dimensionUniqueName="[Calculations]" displayFolder="" count="0" memberValueDatatype="20" unbalanced="0"/>
    <cacheHierarchy uniqueName="[Dim_buses].[BusID]" caption="BusID" attribute="1" defaultMemberUniqueName="[Dim_buses].[BusID].[All]" allUniqueName="[Dim_buses].[BusID].[All]" dimensionUniqueName="[Dim_buses]" displayFolder="" count="0" memberValueDatatype="20" unbalanced="0"/>
    <cacheHierarchy uniqueName="[Dim_buses].[RouteID]" caption="RouteID" attribute="1" defaultMemberUniqueName="[Dim_buses].[RouteID].[All]" allUniqueName="[Dim_buses].[RouteID].[All]" dimensionUniqueName="[Dim_buses]" displayFolder="" count="0" memberValueDatatype="20" unbalanced="0"/>
    <cacheHierarchy uniqueName="[Dim_buses].[BusNumber]" caption="BusNumber" attribute="1" defaultMemberUniqueName="[Dim_buses].[BusNumber].[All]" allUniqueName="[Dim_buses].[BusNumber].[All]" dimensionUniqueName="[Dim_buses]" displayFolder="" count="0" memberValueDatatype="130" unbalanced="0"/>
    <cacheHierarchy uniqueName="[Dim_buses].[Capacity]" caption="Capacity" attribute="1" defaultMemberUniqueName="[Dim_buses].[Capacity].[All]" allUniqueName="[Dim_buses].[Capacity].[All]" dimensionUniqueName="[Dim_buses]" displayFolder="" count="0" memberValueDatatype="20" unbalanced="0"/>
    <cacheHierarchy uniqueName="[Dim_DateTable].[Date]" caption="Date" attribute="1" time="1" defaultMemberUniqueName="[Dim_DateTable].[Date].[All]" allUniqueName="[Dim_DateTable].[Date].[All]" dimensionUniqueName="[Dim_DateTable]" displayFolder="" count="0" memberValueDatatype="7" unbalanced="0"/>
    <cacheHierarchy uniqueName="[Dim_DateTable].[Year]" caption="Year" attribute="1" defaultMemberUniqueName="[Dim_DateTable].[Year].[All]" allUniqueName="[Dim_DateTable].[Year].[All]" dimensionUniqueName="[Dim_DateTable]" displayFolder="" count="0" memberValueDatatype="20" unbalanced="0"/>
    <cacheHierarchy uniqueName="[Dim_DateTable].[Month Name]" caption="Month Name" attribute="1" defaultMemberUniqueName="[Dim_DateTable].[Month Name].[All]" allUniqueName="[Dim_DateTable].[Month Name].[All]" dimensionUniqueName="[Dim_DateTable]" displayFolder="" count="0" memberValueDatatype="130" unbalanced="0"/>
    <cacheHierarchy uniqueName="[Dim_DateTable].[Month Number]" caption="Month Number" attribute="1" defaultMemberUniqueName="[Dim_DateTable].[Month Number].[All]" allUniqueName="[Dim_DateTable].[Month Number].[All]" dimensionUniqueName="[Dim_DateTable]" displayFolder="" count="0" memberValueDatatype="20" unbalanced="0"/>
    <cacheHierarchy uniqueName="[Dim_DateTable].[Day Name]" caption="Day Name" attribute="1" defaultMemberUniqueName="[Dim_DateTable].[Day Name].[All]" allUniqueName="[Dim_DateTable].[Day Name].[All]" dimensionUniqueName="[Dim_DateTable]" displayFolder="" count="0" memberValueDatatype="130" unbalanced="0"/>
    <cacheHierarchy uniqueName="[Dim_DateTable].[Week Number]" caption="Week Number" attribute="1" defaultMemberUniqueName="[Dim_DateTable].[Week Number].[All]" allUniqueName="[Dim_DateTable].[Week Number].[All]" dimensionUniqueName="[Dim_DateTable]" displayFolder="" count="0" memberValueDatatype="20" unbalanced="0"/>
    <cacheHierarchy uniqueName="[Dim_DateTable].[Week Type]" caption="Week Type" attribute="1" defaultMemberUniqueName="[Dim_DateTable].[Week Type].[All]" allUniqueName="[Dim_DateTable].[Week Type].[All]" dimensionUniqueName="[Dim_DateTable]" displayFolder="" count="0" memberValueDatatype="130" unbalanced="0"/>
    <cacheHierarchy uniqueName="[Dim_demographics].[RiderID]" caption="RiderID" attribute="1" defaultMemberUniqueName="[Dim_demographics].[RiderID].[All]" allUniqueName="[Dim_demographics].[RiderID].[All]" dimensionUniqueName="[Dim_demographics]" displayFolder="" count="0" memberValueDatatype="20" unbalanced="0"/>
    <cacheHierarchy uniqueName="[Dim_demographics].[Age]" caption="Age" attribute="1" defaultMemberUniqueName="[Dim_demographics].[Age].[All]" allUniqueName="[Dim_demographics].[Age].[All]" dimensionUniqueName="[Dim_demographics]" displayFolder="" count="0" memberValueDatatype="20" unbalanced="0"/>
    <cacheHierarchy uniqueName="[Dim_demographics].[Age Bucket]" caption="Age Bucket" attribute="1" defaultMemberUniqueName="[Dim_demographics].[Age Bucket].[All]" allUniqueName="[Dim_demographics].[Age Bucket].[All]" dimensionUniqueName="[Dim_demographics]" displayFolder="" count="0" memberValueDatatype="130" unbalanced="0"/>
    <cacheHierarchy uniqueName="[Dim_demographics].[Gender]" caption="Gender" attribute="1" defaultMemberUniqueName="[Dim_demographics].[Gender].[All]" allUniqueName="[Dim_demographics].[Gender].[All]" dimensionUniqueName="[Dim_demographics]" displayFolder="" count="0" memberValueDatatype="130" unbalanced="0"/>
    <cacheHierarchy uniqueName="[Dim_demographics].[Occupation]" caption="Occupation" attribute="1" defaultMemberUniqueName="[Dim_demographics].[Occupation].[All]" allUniqueName="[Dim_demographics].[Occupation].[All]" dimensionUniqueName="[Dim_demographics]" displayFolder="" count="0" memberValueDatatype="130" unbalanced="0"/>
    <cacheHierarchy uniqueName="[Dim_routes].[RouteID]" caption="RouteID" attribute="1" defaultMemberUniqueName="[Dim_routes].[RouteID].[All]" allUniqueName="[Dim_routes].[RouteID].[All]" dimensionUniqueName="[Dim_routes]" displayFolder="" count="0" memberValueDatatype="20" unbalanced="0"/>
    <cacheHierarchy uniqueName="[Dim_routes].[RouteName]" caption="RouteName" attribute="1" defaultMemberUniqueName="[Dim_routes].[RouteName].[All]" allUniqueName="[Dim_routes].[RouteName].[All]" dimensionUniqueName="[Dim_routes]" displayFolder="" count="2" memberValueDatatype="130" unbalanced="0">
      <fieldsUsage count="2">
        <fieldUsage x="-1"/>
        <fieldUsage x="1"/>
      </fieldsUsage>
    </cacheHierarchy>
    <cacheHierarchy uniqueName="[Dim_routes].[StartLocation]" caption="StartLocation" attribute="1" defaultMemberUniqueName="[Dim_routes].[StartLocation].[All]" allUniqueName="[Dim_routes].[StartLocation].[All]" dimensionUniqueName="[Dim_routes]" displayFolder="" count="0" memberValueDatatype="130" unbalanced="0"/>
    <cacheHierarchy uniqueName="[Dim_routes].[EndLocation]" caption="EndLocation" attribute="1" defaultMemberUniqueName="[Dim_routes].[EndLocation].[All]" allUniqueName="[Dim_routes].[EndLocation].[All]" dimensionUniqueName="[Dim_routes]" displayFolder="" count="0" memberValueDatatype="130" unbalanced="0"/>
    <cacheHierarchy uniqueName="[Dim_routes].[TripFee]" caption="TripFee" attribute="1" defaultMemberUniqueName="[Dim_routes].[TripFee].[All]" allUniqueName="[Dim_routes].[TripFee].[All]" dimensionUniqueName="[Dim_routes]" displayFolder="" count="0" memberValueDatatype="20" unbalanced="0"/>
    <cacheHierarchy uniqueName="[Dim_routes].[TakeOffTime]" caption="TakeOffTime" attribute="1" time="1" defaultMemberUniqueName="[Dim_routes].[TakeOffTime].[All]" allUniqueName="[Dim_routes].[TakeOffTime].[All]" dimensionUniqueName="[Dim_routes]" displayFolder="" count="0" memberValueDatatype="7" unbalanced="0"/>
    <cacheHierarchy uniqueName="[Dim_routes].[ArrivalTime]" caption="ArrivalTime" attribute="1" time="1" defaultMemberUniqueName="[Dim_routes].[ArrivalTime].[All]" allUniqueName="[Dim_routes].[ArrivalTime].[All]" dimensionUniqueName="[Dim_routes]" displayFolder="" count="0" memberValueDatatype="7" unbalanced="0"/>
    <cacheHierarchy uniqueName="[Facttable_ridership].[RecordID]" caption="RecordID" attribute="1" defaultMemberUniqueName="[Facttable_ridership].[RecordID].[All]" allUniqueName="[Facttable_ridership].[RecordID].[All]" dimensionUniqueName="[Facttable_ridership]" displayFolder="" count="0" memberValueDatatype="20" unbalanced="0"/>
    <cacheHierarchy uniqueName="[Facttable_ridership].[BusID]" caption="BusID" attribute="1" defaultMemberUniqueName="[Facttable_ridership].[BusID].[All]" allUniqueName="[Facttable_ridership].[BusID].[All]" dimensionUniqueName="[Facttable_ridership]" displayFolder="" count="0" memberValueDatatype="20" unbalanced="0"/>
    <cacheHierarchy uniqueName="[Facttable_ridership].[Date]" caption="Date" attribute="1" time="1" defaultMemberUniqueName="[Facttable_ridership].[Date].[All]" allUniqueName="[Facttable_ridership].[Date].[All]" dimensionUniqueName="[Facttable_ridership]" displayFolder="" count="0" memberValueDatatype="7" unbalanced="0"/>
    <cacheHierarchy uniqueName="[Facttable_ridership].[Time]" caption="Time" attribute="1" time="1" defaultMemberUniqueName="[Facttable_ridership].[Time].[All]" allUniqueName="[Facttable_ridership].[Time].[All]" dimensionUniqueName="[Facttable_ridership]" displayFolder="" count="2" memberValueDatatype="7" unbalanced="0">
      <fieldsUsage count="2">
        <fieldUsage x="-1"/>
        <fieldUsage x="3"/>
      </fieldsUsage>
    </cacheHierarchy>
    <cacheHierarchy uniqueName="[Facttable_ridership].[Operation Moment]" caption="Operation Moment" attribute="1" defaultMemberUniqueName="[Facttable_ridership].[Operation Moment].[All]" allUniqueName="[Facttable_ridership].[Operation Moment].[All]" dimensionUniqueName="[Facttable_ridership]" displayFolder="" count="0" memberValueDatatype="130" unbalanced="0"/>
    <cacheHierarchy uniqueName="[Facttable_ridership].[Time Group]" caption="Time Group" attribute="1" defaultMemberUniqueName="[Facttable_ridership].[Time Group].[All]" allUniqueName="[Facttable_ridership].[Time Group].[All]" dimensionUniqueName="[Facttable_ridership]" displayFolder="" count="2" memberValueDatatype="130" unbalanced="0">
      <fieldsUsage count="2">
        <fieldUsage x="-1"/>
        <fieldUsage x="2"/>
      </fieldsUsage>
    </cacheHierarchy>
    <cacheHierarchy uniqueName="[Facttable_ridership].[NumberOfRiders]" caption="NumberOfRiders" attribute="1" defaultMemberUniqueName="[Facttable_ridership].[NumberOfRiders].[All]" allUniqueName="[Facttable_ridership].[NumberOfRiders].[All]" dimensionUniqueName="[Facttable_ridership]" displayFolder="" count="0" memberValueDatatype="20" unbalanced="0"/>
    <cacheHierarchy uniqueName="[Facttable_ridership].[RiderID]" caption="RiderID" attribute="1" defaultMemberUniqueName="[Facttable_ridership].[RiderID].[All]" allUniqueName="[Facttable_ridership].[RiderID].[All]" dimensionUniqueName="[Facttable_ridership]" displayFolder="" count="0" memberValueDatatype="20" unbalanced="0"/>
    <cacheHierarchy uniqueName="[Facttable_ridership].[Capacity]" caption="Capacity" attribute="1" defaultMemberUniqueName="[Facttable_ridership].[Capacity].[All]" allUniqueName="[Facttable_ridership].[Capacity].[All]" dimensionUniqueName="[Facttable_ridership]" displayFolder="" count="0" memberValueDatatype="20" unbalanced="0"/>
    <cacheHierarchy uniqueName="[Facttable_ridership].[Utilization Percentage]" caption="Utilization Percentage" attribute="1" defaultMemberUniqueName="[Facttable_ridership].[Utilization Percentage].[All]" allUniqueName="[Facttable_ridership].[Utilization Percentage].[All]" dimensionUniqueName="[Facttable_ridership]" displayFolder="" count="0" memberValueDatatype="5" unbalanced="0"/>
    <cacheHierarchy uniqueName="[Facttable_ridership].[Bus Utilization Category]" caption="Bus Utilization Category" attribute="1" defaultMemberUniqueName="[Facttable_ridership].[Bus Utilization Category].[All]" allUniqueName="[Facttable_ridership].[Bus Utilization Category].[All]" dimensionUniqueName="[Facttable_ridership]" displayFolder="" count="0" memberValueDatatype="130" unbalanced="0"/>
    <cacheHierarchy uniqueName="[Facttable_ridership].[Time (Hour)]" caption="Time (Hour)" attribute="1" defaultMemberUniqueName="[Facttable_ridership].[Time (Hour)].[All]" allUniqueName="[Facttable_ridership].[Time (Hour)].[All]" dimensionUniqueName="[Facttable_ridership]" displayFolder="" count="0" memberValueDatatype="130" unbalanced="0"/>
    <cacheHierarchy uniqueName="[Facttable_ridership].[Time (Minute)]" caption="Time (Minute)" attribute="1" defaultMemberUniqueName="[Facttable_ridership].[Time (Minute)].[All]" allUniqueName="[Facttable_ridership].[Time (Minute)].[All]" dimensionUniqueName="[Facttable_ridership]" displayFolder="" count="0" memberValueDatatype="130" unbalanced="0"/>
    <cacheHierarchy uniqueName="[Measures].[Count of Date]" caption="Count of Date" measure="1" displayFolder="" measureGroup="Facttable_ridership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Age]" caption="Sum of Age" measure="1" displayFolder="" measureGroup="Dim_demographics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Age]" caption="Count of Age" measure="1" displayFolder="" measureGroup="Dim_demographics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BusID]" caption="Sum of BusID" measure="1" displayFolder="" measureGroup="Facttable_ridership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Count of BusID]" caption="Count of BusID" measure="1" displayFolder="" measureGroup="Facttable_ridership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NumberOfRiders]" caption="Sum of NumberOfRiders" measure="1" displayFolder="" measureGroup="Facttable_ridership" count="0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Average of NumberOfRiders]" caption="Average of NumberOfRiders" measure="1" displayFolder="" measureGroup="Facttable_ridership" count="0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Year]" caption="Sum of Year" measure="1" displayFolder="" measureGroup="Dim_DateTabl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Total Transaction]" caption="Total Transaction" measure="1" displayFolder="" measureGroup="Calculations" count="0"/>
    <cacheHierarchy uniqueName="[Measures].[Average Age]" caption="Average Age" measure="1" displayFolder="" measureGroup="Calculations" count="0"/>
    <cacheHierarchy uniqueName="[Measures].[Total Riders(Passengers)]" caption="Total Riders(Passengers)" measure="1" displayFolder="" measureGroup="Calculations" count="0" oneField="1">
      <fieldsUsage count="1">
        <fieldUsage x="0"/>
      </fieldsUsage>
    </cacheHierarchy>
    <cacheHierarchy uniqueName="[Measures].[Avg Riders Per Trip]" caption="Avg Riders Per Trip" measure="1" displayFolder="" measureGroup="Calculations" count="0"/>
    <cacheHierarchy uniqueName="[Measures].[Total Buses]" caption="Total Buses" measure="1" displayFolder="" measureGroup="Calculations" count="0"/>
    <cacheHierarchy uniqueName="[Measures].[__XL_Count Dim_buses]" caption="__XL_Count Dim_buses" measure="1" displayFolder="" measureGroup="Dim_buses" count="0" hidden="1"/>
    <cacheHierarchy uniqueName="[Measures].[__XL_Count Dim_demographics]" caption="__XL_Count Dim_demographics" measure="1" displayFolder="" measureGroup="Dim_demographics" count="0" hidden="1"/>
    <cacheHierarchy uniqueName="[Measures].[__XL_Count Dim_routes]" caption="__XL_Count Dim_routes" measure="1" displayFolder="" measureGroup="Dim_routes" count="0" hidden="1"/>
    <cacheHierarchy uniqueName="[Measures].[__XL_Count Facttable_ridership]" caption="__XL_Count Facttable_ridership" measure="1" displayFolder="" measureGroup="Facttable_ridership" count="0" hidden="1"/>
    <cacheHierarchy uniqueName="[Measures].[__XL_Count Dim_DateTable]" caption="__XL_Count Dim_DateTable" measure="1" displayFolder="" measureGroup="Dim_DateTable" count="0" hidden="1"/>
    <cacheHierarchy uniqueName="[Measures].[__XL_Count Calculations]" caption="__XL_Count Calculations" measure="1" displayFolder="" measureGroup="Calculations" count="0" hidden="1"/>
    <cacheHierarchy uniqueName="[Measures].[__No measures defined]" caption="__No measures defined" measure="1" displayFolder="" count="0" hidden="1"/>
  </cacheHierarchies>
  <kpis count="0"/>
  <dimensions count="7">
    <dimension name="Calculations" uniqueName="[Calculations]" caption="Calculations"/>
    <dimension name="Dim_buses" uniqueName="[Dim_buses]" caption="Dim_buses"/>
    <dimension name="Dim_DateTable" uniqueName="[Dim_DateTable]" caption="Dim_DateTable"/>
    <dimension name="Dim_demographics" uniqueName="[Dim_demographics]" caption="Dim_demographics"/>
    <dimension name="Dim_routes" uniqueName="[Dim_routes]" caption="Dim_routes"/>
    <dimension name="Facttable_ridership" uniqueName="[Facttable_ridership]" caption="Facttable_ridership"/>
    <dimension measure="1" name="Measures" uniqueName="[Measures]" caption="Measures"/>
  </dimensions>
  <measureGroups count="6">
    <measureGroup name="Calculations" caption="Calculations"/>
    <measureGroup name="Dim_buses" caption="Dim_buses"/>
    <measureGroup name="Dim_DateTable" caption="Dim_DateTable"/>
    <measureGroup name="Dim_demographics" caption="Dim_demographics"/>
    <measureGroup name="Dim_routes" caption="Dim_routes"/>
    <measureGroup name="Facttable_ridership" caption="Facttable_ridership"/>
  </measureGroups>
  <maps count="11">
    <map measureGroup="0" dimension="0"/>
    <map measureGroup="1" dimension="1"/>
    <map measureGroup="1" dimension="4"/>
    <map measureGroup="2" dimension="2"/>
    <map measureGroup="3" dimension="3"/>
    <map measureGroup="4" dimension="4"/>
    <map measureGroup="5" dimension="1"/>
    <map measureGroup="5" dimension="2"/>
    <map measureGroup="5" dimension="3"/>
    <map measureGroup="5" dimension="4"/>
    <map measureGroup="5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atyajeet Sahoo" refreshedDate="45970.479234722225" createdVersion="8" refreshedVersion="8" minRefreshableVersion="3" recordCount="0" supportSubquery="1" supportAdvancedDrill="1" xr:uid="{68FAF3C4-828A-43C2-875F-F690E764038B}">
  <cacheSource type="external" connectionId="7"/>
  <cacheFields count="4">
    <cacheField name="[Measures].[Total Riders(Passengers)]" caption="Total Riders(Passengers)" numFmtId="0" hierarchy="47" level="32767"/>
    <cacheField name="[Dim_routes].[RouteName].[RouteName]" caption="RouteName" numFmtId="0" hierarchy="18" level="1">
      <sharedItems count="1">
        <s v="East-West Express"/>
      </sharedItems>
    </cacheField>
    <cacheField name="[Facttable_ridership].[Time Group].[Time Group]" caption="Time Group" numFmtId="0" hierarchy="29" level="1">
      <sharedItems count="6">
        <s v="12:00 PM - 3:00 PM"/>
        <s v="3:00 PM - 6:00 PM"/>
        <s v="6:00 AM - 9:00 AM"/>
        <s v="6:00 PM - 9:00 PM"/>
        <s v="9:00 AM - 12:00 PM"/>
        <s v="9:00 PM - 12:00 AM"/>
      </sharedItems>
    </cacheField>
    <cacheField name="[Facttable_ridership].[Time].[Time]" caption="Time" numFmtId="0" hierarchy="27" level="1">
      <sharedItems containsSemiMixedTypes="0" containsNonDate="0" containsDate="1" containsString="0" minDate="1899-12-30T12:34:00" maxDate="1899-12-30T12:34:00" count="1">
        <d v="1899-12-30T12:34:00"/>
      </sharedItems>
      <extLst>
        <ext xmlns:x15="http://schemas.microsoft.com/office/spreadsheetml/2010/11/main" uri="{4F2E5C28-24EA-4eb8-9CBF-B6C8F9C3D259}">
          <x15:cachedUniqueNames>
            <x15:cachedUniqueName index="0" name="[Facttable_ridership].[Time].&amp;[1899-12-30T12:34:00]"/>
          </x15:cachedUniqueNames>
        </ext>
      </extLst>
    </cacheField>
  </cacheFields>
  <cacheHierarchies count="57">
    <cacheHierarchy uniqueName="[Calculations].[Calculation]" caption="Calculation" attribute="1" defaultMemberUniqueName="[Calculations].[Calculation].[All]" allUniqueName="[Calculations].[Calculation].[All]" dimensionUniqueName="[Calculations]" displayFolder="" count="0" memberValueDatatype="20" unbalanced="0"/>
    <cacheHierarchy uniqueName="[Dim_buses].[BusID]" caption="BusID" attribute="1" defaultMemberUniqueName="[Dim_buses].[BusID].[All]" allUniqueName="[Dim_buses].[BusID].[All]" dimensionUniqueName="[Dim_buses]" displayFolder="" count="0" memberValueDatatype="20" unbalanced="0"/>
    <cacheHierarchy uniqueName="[Dim_buses].[RouteID]" caption="RouteID" attribute="1" defaultMemberUniqueName="[Dim_buses].[RouteID].[All]" allUniqueName="[Dim_buses].[RouteID].[All]" dimensionUniqueName="[Dim_buses]" displayFolder="" count="0" memberValueDatatype="20" unbalanced="0"/>
    <cacheHierarchy uniqueName="[Dim_buses].[BusNumber]" caption="BusNumber" attribute="1" defaultMemberUniqueName="[Dim_buses].[BusNumber].[All]" allUniqueName="[Dim_buses].[BusNumber].[All]" dimensionUniqueName="[Dim_buses]" displayFolder="" count="0" memberValueDatatype="130" unbalanced="0"/>
    <cacheHierarchy uniqueName="[Dim_buses].[Capacity]" caption="Capacity" attribute="1" defaultMemberUniqueName="[Dim_buses].[Capacity].[All]" allUniqueName="[Dim_buses].[Capacity].[All]" dimensionUniqueName="[Dim_buses]" displayFolder="" count="0" memberValueDatatype="20" unbalanced="0"/>
    <cacheHierarchy uniqueName="[Dim_DateTable].[Date]" caption="Date" attribute="1" time="1" defaultMemberUniqueName="[Dim_DateTable].[Date].[All]" allUniqueName="[Dim_DateTable].[Date].[All]" dimensionUniqueName="[Dim_DateTable]" displayFolder="" count="0" memberValueDatatype="7" unbalanced="0"/>
    <cacheHierarchy uniqueName="[Dim_DateTable].[Year]" caption="Year" attribute="1" defaultMemberUniqueName="[Dim_DateTable].[Year].[All]" allUniqueName="[Dim_DateTable].[Year].[All]" dimensionUniqueName="[Dim_DateTable]" displayFolder="" count="0" memberValueDatatype="20" unbalanced="0"/>
    <cacheHierarchy uniqueName="[Dim_DateTable].[Month Name]" caption="Month Name" attribute="1" defaultMemberUniqueName="[Dim_DateTable].[Month Name].[All]" allUniqueName="[Dim_DateTable].[Month Name].[All]" dimensionUniqueName="[Dim_DateTable]" displayFolder="" count="0" memberValueDatatype="130" unbalanced="0"/>
    <cacheHierarchy uniqueName="[Dim_DateTable].[Month Number]" caption="Month Number" attribute="1" defaultMemberUniqueName="[Dim_DateTable].[Month Number].[All]" allUniqueName="[Dim_DateTable].[Month Number].[All]" dimensionUniqueName="[Dim_DateTable]" displayFolder="" count="0" memberValueDatatype="20" unbalanced="0"/>
    <cacheHierarchy uniqueName="[Dim_DateTable].[Day Name]" caption="Day Name" attribute="1" defaultMemberUniqueName="[Dim_DateTable].[Day Name].[All]" allUniqueName="[Dim_DateTable].[Day Name].[All]" dimensionUniqueName="[Dim_DateTable]" displayFolder="" count="0" memberValueDatatype="130" unbalanced="0"/>
    <cacheHierarchy uniqueName="[Dim_DateTable].[Week Number]" caption="Week Number" attribute="1" defaultMemberUniqueName="[Dim_DateTable].[Week Number].[All]" allUniqueName="[Dim_DateTable].[Week Number].[All]" dimensionUniqueName="[Dim_DateTable]" displayFolder="" count="0" memberValueDatatype="20" unbalanced="0"/>
    <cacheHierarchy uniqueName="[Dim_DateTable].[Week Type]" caption="Week Type" attribute="1" defaultMemberUniqueName="[Dim_DateTable].[Week Type].[All]" allUniqueName="[Dim_DateTable].[Week Type].[All]" dimensionUniqueName="[Dim_DateTable]" displayFolder="" count="0" memberValueDatatype="130" unbalanced="0"/>
    <cacheHierarchy uniqueName="[Dim_demographics].[RiderID]" caption="RiderID" attribute="1" defaultMemberUniqueName="[Dim_demographics].[RiderID].[All]" allUniqueName="[Dim_demographics].[RiderID].[All]" dimensionUniqueName="[Dim_demographics]" displayFolder="" count="0" memberValueDatatype="20" unbalanced="0"/>
    <cacheHierarchy uniqueName="[Dim_demographics].[Age]" caption="Age" attribute="1" defaultMemberUniqueName="[Dim_demographics].[Age].[All]" allUniqueName="[Dim_demographics].[Age].[All]" dimensionUniqueName="[Dim_demographics]" displayFolder="" count="0" memberValueDatatype="20" unbalanced="0"/>
    <cacheHierarchy uniqueName="[Dim_demographics].[Age Bucket]" caption="Age Bucket" attribute="1" defaultMemberUniqueName="[Dim_demographics].[Age Bucket].[All]" allUniqueName="[Dim_demographics].[Age Bucket].[All]" dimensionUniqueName="[Dim_demographics]" displayFolder="" count="0" memberValueDatatype="130" unbalanced="0"/>
    <cacheHierarchy uniqueName="[Dim_demographics].[Gender]" caption="Gender" attribute="1" defaultMemberUniqueName="[Dim_demographics].[Gender].[All]" allUniqueName="[Dim_demographics].[Gender].[All]" dimensionUniqueName="[Dim_demographics]" displayFolder="" count="0" memberValueDatatype="130" unbalanced="0"/>
    <cacheHierarchy uniqueName="[Dim_demographics].[Occupation]" caption="Occupation" attribute="1" defaultMemberUniqueName="[Dim_demographics].[Occupation].[All]" allUniqueName="[Dim_demographics].[Occupation].[All]" dimensionUniqueName="[Dim_demographics]" displayFolder="" count="0" memberValueDatatype="130" unbalanced="0"/>
    <cacheHierarchy uniqueName="[Dim_routes].[RouteID]" caption="RouteID" attribute="1" defaultMemberUniqueName="[Dim_routes].[RouteID].[All]" allUniqueName="[Dim_routes].[RouteID].[All]" dimensionUniqueName="[Dim_routes]" displayFolder="" count="0" memberValueDatatype="20" unbalanced="0"/>
    <cacheHierarchy uniqueName="[Dim_routes].[RouteName]" caption="RouteName" attribute="1" defaultMemberUniqueName="[Dim_routes].[RouteName].[All]" allUniqueName="[Dim_routes].[RouteName].[All]" dimensionUniqueName="[Dim_routes]" displayFolder="" count="2" memberValueDatatype="130" unbalanced="0">
      <fieldsUsage count="2">
        <fieldUsage x="-1"/>
        <fieldUsage x="1"/>
      </fieldsUsage>
    </cacheHierarchy>
    <cacheHierarchy uniqueName="[Dim_routes].[StartLocation]" caption="StartLocation" attribute="1" defaultMemberUniqueName="[Dim_routes].[StartLocation].[All]" allUniqueName="[Dim_routes].[StartLocation].[All]" dimensionUniqueName="[Dim_routes]" displayFolder="" count="0" memberValueDatatype="130" unbalanced="0"/>
    <cacheHierarchy uniqueName="[Dim_routes].[EndLocation]" caption="EndLocation" attribute="1" defaultMemberUniqueName="[Dim_routes].[EndLocation].[All]" allUniqueName="[Dim_routes].[EndLocation].[All]" dimensionUniqueName="[Dim_routes]" displayFolder="" count="0" memberValueDatatype="130" unbalanced="0"/>
    <cacheHierarchy uniqueName="[Dim_routes].[TripFee]" caption="TripFee" attribute="1" defaultMemberUniqueName="[Dim_routes].[TripFee].[All]" allUniqueName="[Dim_routes].[TripFee].[All]" dimensionUniqueName="[Dim_routes]" displayFolder="" count="0" memberValueDatatype="20" unbalanced="0"/>
    <cacheHierarchy uniqueName="[Dim_routes].[TakeOffTime]" caption="TakeOffTime" attribute="1" time="1" defaultMemberUniqueName="[Dim_routes].[TakeOffTime].[All]" allUniqueName="[Dim_routes].[TakeOffTime].[All]" dimensionUniqueName="[Dim_routes]" displayFolder="" count="0" memberValueDatatype="7" unbalanced="0"/>
    <cacheHierarchy uniqueName="[Dim_routes].[ArrivalTime]" caption="ArrivalTime" attribute="1" time="1" defaultMemberUniqueName="[Dim_routes].[ArrivalTime].[All]" allUniqueName="[Dim_routes].[ArrivalTime].[All]" dimensionUniqueName="[Dim_routes]" displayFolder="" count="0" memberValueDatatype="7" unbalanced="0"/>
    <cacheHierarchy uniqueName="[Facttable_ridership].[RecordID]" caption="RecordID" attribute="1" defaultMemberUniqueName="[Facttable_ridership].[RecordID].[All]" allUniqueName="[Facttable_ridership].[RecordID].[All]" dimensionUniqueName="[Facttable_ridership]" displayFolder="" count="0" memberValueDatatype="20" unbalanced="0"/>
    <cacheHierarchy uniqueName="[Facttable_ridership].[BusID]" caption="BusID" attribute="1" defaultMemberUniqueName="[Facttable_ridership].[BusID].[All]" allUniqueName="[Facttable_ridership].[BusID].[All]" dimensionUniqueName="[Facttable_ridership]" displayFolder="" count="0" memberValueDatatype="20" unbalanced="0"/>
    <cacheHierarchy uniqueName="[Facttable_ridership].[Date]" caption="Date" attribute="1" time="1" defaultMemberUniqueName="[Facttable_ridership].[Date].[All]" allUniqueName="[Facttable_ridership].[Date].[All]" dimensionUniqueName="[Facttable_ridership]" displayFolder="" count="0" memberValueDatatype="7" unbalanced="0"/>
    <cacheHierarchy uniqueName="[Facttable_ridership].[Time]" caption="Time" attribute="1" time="1" defaultMemberUniqueName="[Facttable_ridership].[Time].[All]" allUniqueName="[Facttable_ridership].[Time].[All]" dimensionUniqueName="[Facttable_ridership]" displayFolder="" count="2" memberValueDatatype="7" unbalanced="0">
      <fieldsUsage count="2">
        <fieldUsage x="-1"/>
        <fieldUsage x="3"/>
      </fieldsUsage>
    </cacheHierarchy>
    <cacheHierarchy uniqueName="[Facttable_ridership].[Operation Moment]" caption="Operation Moment" attribute="1" defaultMemberUniqueName="[Facttable_ridership].[Operation Moment].[All]" allUniqueName="[Facttable_ridership].[Operation Moment].[All]" dimensionUniqueName="[Facttable_ridership]" displayFolder="" count="0" memberValueDatatype="130" unbalanced="0"/>
    <cacheHierarchy uniqueName="[Facttable_ridership].[Time Group]" caption="Time Group" attribute="1" defaultMemberUniqueName="[Facttable_ridership].[Time Group].[All]" allUniqueName="[Facttable_ridership].[Time Group].[All]" dimensionUniqueName="[Facttable_ridership]" displayFolder="" count="2" memberValueDatatype="130" unbalanced="0">
      <fieldsUsage count="2">
        <fieldUsage x="-1"/>
        <fieldUsage x="2"/>
      </fieldsUsage>
    </cacheHierarchy>
    <cacheHierarchy uniqueName="[Facttable_ridership].[NumberOfRiders]" caption="NumberOfRiders" attribute="1" defaultMemberUniqueName="[Facttable_ridership].[NumberOfRiders].[All]" allUniqueName="[Facttable_ridership].[NumberOfRiders].[All]" dimensionUniqueName="[Facttable_ridership]" displayFolder="" count="0" memberValueDatatype="20" unbalanced="0"/>
    <cacheHierarchy uniqueName="[Facttable_ridership].[RiderID]" caption="RiderID" attribute="1" defaultMemberUniqueName="[Facttable_ridership].[RiderID].[All]" allUniqueName="[Facttable_ridership].[RiderID].[All]" dimensionUniqueName="[Facttable_ridership]" displayFolder="" count="0" memberValueDatatype="20" unbalanced="0"/>
    <cacheHierarchy uniqueName="[Facttable_ridership].[Capacity]" caption="Capacity" attribute="1" defaultMemberUniqueName="[Facttable_ridership].[Capacity].[All]" allUniqueName="[Facttable_ridership].[Capacity].[All]" dimensionUniqueName="[Facttable_ridership]" displayFolder="" count="0" memberValueDatatype="20" unbalanced="0"/>
    <cacheHierarchy uniqueName="[Facttable_ridership].[Utilization Percentage]" caption="Utilization Percentage" attribute="1" defaultMemberUniqueName="[Facttable_ridership].[Utilization Percentage].[All]" allUniqueName="[Facttable_ridership].[Utilization Percentage].[All]" dimensionUniqueName="[Facttable_ridership]" displayFolder="" count="0" memberValueDatatype="5" unbalanced="0"/>
    <cacheHierarchy uniqueName="[Facttable_ridership].[Bus Utilization Category]" caption="Bus Utilization Category" attribute="1" defaultMemberUniqueName="[Facttable_ridership].[Bus Utilization Category].[All]" allUniqueName="[Facttable_ridership].[Bus Utilization Category].[All]" dimensionUniqueName="[Facttable_ridership]" displayFolder="" count="0" memberValueDatatype="130" unbalanced="0"/>
    <cacheHierarchy uniqueName="[Facttable_ridership].[Time (Hour)]" caption="Time (Hour)" attribute="1" defaultMemberUniqueName="[Facttable_ridership].[Time (Hour)].[All]" allUniqueName="[Facttable_ridership].[Time (Hour)].[All]" dimensionUniqueName="[Facttable_ridership]" displayFolder="" count="0" memberValueDatatype="130" unbalanced="0"/>
    <cacheHierarchy uniqueName="[Facttable_ridership].[Time (Minute)]" caption="Time (Minute)" attribute="1" defaultMemberUniqueName="[Facttable_ridership].[Time (Minute)].[All]" allUniqueName="[Facttable_ridership].[Time (Minute)].[All]" dimensionUniqueName="[Facttable_ridership]" displayFolder="" count="0" memberValueDatatype="130" unbalanced="0"/>
    <cacheHierarchy uniqueName="[Measures].[Count of Date]" caption="Count of Date" measure="1" displayFolder="" measureGroup="Facttable_ridership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Age]" caption="Sum of Age" measure="1" displayFolder="" measureGroup="Dim_demographics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Age]" caption="Count of Age" measure="1" displayFolder="" measureGroup="Dim_demographics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BusID]" caption="Sum of BusID" measure="1" displayFolder="" measureGroup="Facttable_ridership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Count of BusID]" caption="Count of BusID" measure="1" displayFolder="" measureGroup="Facttable_ridership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NumberOfRiders]" caption="Sum of NumberOfRiders" measure="1" displayFolder="" measureGroup="Facttable_ridership" count="0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Average of NumberOfRiders]" caption="Average of NumberOfRiders" measure="1" displayFolder="" measureGroup="Facttable_ridership" count="0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Year]" caption="Sum of Year" measure="1" displayFolder="" measureGroup="Dim_DateTabl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Total Transaction]" caption="Total Transaction" measure="1" displayFolder="" measureGroup="Calculations" count="0"/>
    <cacheHierarchy uniqueName="[Measures].[Average Age]" caption="Average Age" measure="1" displayFolder="" measureGroup="Calculations" count="0"/>
    <cacheHierarchy uniqueName="[Measures].[Total Riders(Passengers)]" caption="Total Riders(Passengers)" measure="1" displayFolder="" measureGroup="Calculations" count="0" oneField="1">
      <fieldsUsage count="1">
        <fieldUsage x="0"/>
      </fieldsUsage>
    </cacheHierarchy>
    <cacheHierarchy uniqueName="[Measures].[Avg Riders Per Trip]" caption="Avg Riders Per Trip" measure="1" displayFolder="" measureGroup="Calculations" count="0"/>
    <cacheHierarchy uniqueName="[Measures].[Total Buses]" caption="Total Buses" measure="1" displayFolder="" measureGroup="Calculations" count="0"/>
    <cacheHierarchy uniqueName="[Measures].[__XL_Count Dim_buses]" caption="__XL_Count Dim_buses" measure="1" displayFolder="" measureGroup="Dim_buses" count="0" hidden="1"/>
    <cacheHierarchy uniqueName="[Measures].[__XL_Count Dim_demographics]" caption="__XL_Count Dim_demographics" measure="1" displayFolder="" measureGroup="Dim_demographics" count="0" hidden="1"/>
    <cacheHierarchy uniqueName="[Measures].[__XL_Count Dim_routes]" caption="__XL_Count Dim_routes" measure="1" displayFolder="" measureGroup="Dim_routes" count="0" hidden="1"/>
    <cacheHierarchy uniqueName="[Measures].[__XL_Count Facttable_ridership]" caption="__XL_Count Facttable_ridership" measure="1" displayFolder="" measureGroup="Facttable_ridership" count="0" hidden="1"/>
    <cacheHierarchy uniqueName="[Measures].[__XL_Count Dim_DateTable]" caption="__XL_Count Dim_DateTable" measure="1" displayFolder="" measureGroup="Dim_DateTable" count="0" hidden="1"/>
    <cacheHierarchy uniqueName="[Measures].[__XL_Count Calculations]" caption="__XL_Count Calculations" measure="1" displayFolder="" measureGroup="Calculations" count="0" hidden="1"/>
    <cacheHierarchy uniqueName="[Measures].[__No measures defined]" caption="__No measures defined" measure="1" displayFolder="" count="0" hidden="1"/>
  </cacheHierarchies>
  <kpis count="0"/>
  <dimensions count="7">
    <dimension name="Calculations" uniqueName="[Calculations]" caption="Calculations"/>
    <dimension name="Dim_buses" uniqueName="[Dim_buses]" caption="Dim_buses"/>
    <dimension name="Dim_DateTable" uniqueName="[Dim_DateTable]" caption="Dim_DateTable"/>
    <dimension name="Dim_demographics" uniqueName="[Dim_demographics]" caption="Dim_demographics"/>
    <dimension name="Dim_routes" uniqueName="[Dim_routes]" caption="Dim_routes"/>
    <dimension name="Facttable_ridership" uniqueName="[Facttable_ridership]" caption="Facttable_ridership"/>
    <dimension measure="1" name="Measures" uniqueName="[Measures]" caption="Measures"/>
  </dimensions>
  <measureGroups count="6">
    <measureGroup name="Calculations" caption="Calculations"/>
    <measureGroup name="Dim_buses" caption="Dim_buses"/>
    <measureGroup name="Dim_DateTable" caption="Dim_DateTable"/>
    <measureGroup name="Dim_demographics" caption="Dim_demographics"/>
    <measureGroup name="Dim_routes" caption="Dim_routes"/>
    <measureGroup name="Facttable_ridership" caption="Facttable_ridership"/>
  </measureGroups>
  <maps count="11">
    <map measureGroup="0" dimension="0"/>
    <map measureGroup="1" dimension="1"/>
    <map measureGroup="1" dimension="4"/>
    <map measureGroup="2" dimension="2"/>
    <map measureGroup="3" dimension="3"/>
    <map measureGroup="4" dimension="4"/>
    <map measureGroup="5" dimension="1"/>
    <map measureGroup="5" dimension="2"/>
    <map measureGroup="5" dimension="3"/>
    <map measureGroup="5" dimension="4"/>
    <map measureGroup="5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atyajeet Sahoo" refreshedDate="45970.47923611111" createdVersion="8" refreshedVersion="8" minRefreshableVersion="3" recordCount="0" supportSubquery="1" supportAdvancedDrill="1" xr:uid="{98C26AF6-397F-4AD6-A29D-0A4D9B5FDD1A}">
  <cacheSource type="external" connectionId="7"/>
  <cacheFields count="5">
    <cacheField name="[Measures].[Total Riders(Passengers)]" caption="Total Riders(Passengers)" numFmtId="0" hierarchy="47" level="32767"/>
    <cacheField name="[Dim_routes].[RouteName].[RouteName]" caption="RouteName" numFmtId="0" hierarchy="18" level="1">
      <sharedItems count="1">
        <s v="East-West Express"/>
      </sharedItems>
    </cacheField>
    <cacheField name="[Facttable_ridership].[Time Group].[Time Group]" caption="Time Group" numFmtId="0" hierarchy="29" level="1">
      <sharedItems count="6">
        <s v="12:00 PM - 3:00 PM"/>
        <s v="3:00 PM - 6:00 PM"/>
        <s v="6:00 AM - 9:00 AM"/>
        <s v="6:00 PM - 9:00 PM"/>
        <s v="9:00 AM - 12:00 PM"/>
        <s v="9:00 PM - 12:00 AM"/>
      </sharedItems>
    </cacheField>
    <cacheField name="[Facttable_ridership].[Time].[Time]" caption="Time" numFmtId="0" hierarchy="27" level="1">
      <sharedItems containsSemiMixedTypes="0" containsNonDate="0" containsDate="1" containsString="0" minDate="1899-12-30T12:34:00" maxDate="1899-12-30T12:34:00" count="1">
        <d v="1899-12-30T12:34:00"/>
      </sharedItems>
      <extLst>
        <ext xmlns:x15="http://schemas.microsoft.com/office/spreadsheetml/2010/11/main" uri="{4F2E5C28-24EA-4eb8-9CBF-B6C8F9C3D259}">
          <x15:cachedUniqueNames>
            <x15:cachedUniqueName index="0" name="[Facttable_ridership].[Time].&amp;[1899-12-30T12:34:00]"/>
          </x15:cachedUniqueNames>
        </ext>
      </extLst>
    </cacheField>
    <cacheField name="[Dim_DateTable].[Month Name].[Month Name]" caption="Month Name" numFmtId="0" hierarchy="7" level="1">
      <sharedItems count="2">
        <s v="Jan"/>
        <s v="Dec"/>
      </sharedItems>
    </cacheField>
  </cacheFields>
  <cacheHierarchies count="57">
    <cacheHierarchy uniqueName="[Calculations].[Calculation]" caption="Calculation" attribute="1" defaultMemberUniqueName="[Calculations].[Calculation].[All]" allUniqueName="[Calculations].[Calculation].[All]" dimensionUniqueName="[Calculations]" displayFolder="" count="0" memberValueDatatype="20" unbalanced="0"/>
    <cacheHierarchy uniqueName="[Dim_buses].[BusID]" caption="BusID" attribute="1" defaultMemberUniqueName="[Dim_buses].[BusID].[All]" allUniqueName="[Dim_buses].[BusID].[All]" dimensionUniqueName="[Dim_buses]" displayFolder="" count="0" memberValueDatatype="20" unbalanced="0"/>
    <cacheHierarchy uniqueName="[Dim_buses].[RouteID]" caption="RouteID" attribute="1" defaultMemberUniqueName="[Dim_buses].[RouteID].[All]" allUniqueName="[Dim_buses].[RouteID].[All]" dimensionUniqueName="[Dim_buses]" displayFolder="" count="0" memberValueDatatype="20" unbalanced="0"/>
    <cacheHierarchy uniqueName="[Dim_buses].[BusNumber]" caption="BusNumber" attribute="1" defaultMemberUniqueName="[Dim_buses].[BusNumber].[All]" allUniqueName="[Dim_buses].[BusNumber].[All]" dimensionUniqueName="[Dim_buses]" displayFolder="" count="0" memberValueDatatype="130" unbalanced="0"/>
    <cacheHierarchy uniqueName="[Dim_buses].[Capacity]" caption="Capacity" attribute="1" defaultMemberUniqueName="[Dim_buses].[Capacity].[All]" allUniqueName="[Dim_buses].[Capacity].[All]" dimensionUniqueName="[Dim_buses]" displayFolder="" count="0" memberValueDatatype="20" unbalanced="0"/>
    <cacheHierarchy uniqueName="[Dim_DateTable].[Date]" caption="Date" attribute="1" time="1" defaultMemberUniqueName="[Dim_DateTable].[Date].[All]" allUniqueName="[Dim_DateTable].[Date].[All]" dimensionUniqueName="[Dim_DateTable]" displayFolder="" count="0" memberValueDatatype="7" unbalanced="0"/>
    <cacheHierarchy uniqueName="[Dim_DateTable].[Year]" caption="Year" attribute="1" defaultMemberUniqueName="[Dim_DateTable].[Year].[All]" allUniqueName="[Dim_DateTable].[Year].[All]" dimensionUniqueName="[Dim_DateTable]" displayFolder="" count="0" memberValueDatatype="20" unbalanced="0"/>
    <cacheHierarchy uniqueName="[Dim_DateTable].[Month Name]" caption="Month Name" attribute="1" defaultMemberUniqueName="[Dim_DateTable].[Month Name].[All]" allUniqueName="[Dim_DateTable].[Month Name].[All]" dimensionUniqueName="[Dim_DateTable]" displayFolder="" count="2" memberValueDatatype="130" unbalanced="0">
      <fieldsUsage count="2">
        <fieldUsage x="-1"/>
        <fieldUsage x="4"/>
      </fieldsUsage>
    </cacheHierarchy>
    <cacheHierarchy uniqueName="[Dim_DateTable].[Month Number]" caption="Month Number" attribute="1" defaultMemberUniqueName="[Dim_DateTable].[Month Number].[All]" allUniqueName="[Dim_DateTable].[Month Number].[All]" dimensionUniqueName="[Dim_DateTable]" displayFolder="" count="0" memberValueDatatype="20" unbalanced="0"/>
    <cacheHierarchy uniqueName="[Dim_DateTable].[Day Name]" caption="Day Name" attribute="1" defaultMemberUniqueName="[Dim_DateTable].[Day Name].[All]" allUniqueName="[Dim_DateTable].[Day Name].[All]" dimensionUniqueName="[Dim_DateTable]" displayFolder="" count="0" memberValueDatatype="130" unbalanced="0"/>
    <cacheHierarchy uniqueName="[Dim_DateTable].[Week Number]" caption="Week Number" attribute="1" defaultMemberUniqueName="[Dim_DateTable].[Week Number].[All]" allUniqueName="[Dim_DateTable].[Week Number].[All]" dimensionUniqueName="[Dim_DateTable]" displayFolder="" count="0" memberValueDatatype="20" unbalanced="0"/>
    <cacheHierarchy uniqueName="[Dim_DateTable].[Week Type]" caption="Week Type" attribute="1" defaultMemberUniqueName="[Dim_DateTable].[Week Type].[All]" allUniqueName="[Dim_DateTable].[Week Type].[All]" dimensionUniqueName="[Dim_DateTable]" displayFolder="" count="0" memberValueDatatype="130" unbalanced="0"/>
    <cacheHierarchy uniqueName="[Dim_demographics].[RiderID]" caption="RiderID" attribute="1" defaultMemberUniqueName="[Dim_demographics].[RiderID].[All]" allUniqueName="[Dim_demographics].[RiderID].[All]" dimensionUniqueName="[Dim_demographics]" displayFolder="" count="0" memberValueDatatype="20" unbalanced="0"/>
    <cacheHierarchy uniqueName="[Dim_demographics].[Age]" caption="Age" attribute="1" defaultMemberUniqueName="[Dim_demographics].[Age].[All]" allUniqueName="[Dim_demographics].[Age].[All]" dimensionUniqueName="[Dim_demographics]" displayFolder="" count="0" memberValueDatatype="20" unbalanced="0"/>
    <cacheHierarchy uniqueName="[Dim_demographics].[Age Bucket]" caption="Age Bucket" attribute="1" defaultMemberUniqueName="[Dim_demographics].[Age Bucket].[All]" allUniqueName="[Dim_demographics].[Age Bucket].[All]" dimensionUniqueName="[Dim_demographics]" displayFolder="" count="0" memberValueDatatype="130" unbalanced="0"/>
    <cacheHierarchy uniqueName="[Dim_demographics].[Gender]" caption="Gender" attribute="1" defaultMemberUniqueName="[Dim_demographics].[Gender].[All]" allUniqueName="[Dim_demographics].[Gender].[All]" dimensionUniqueName="[Dim_demographics]" displayFolder="" count="0" memberValueDatatype="130" unbalanced="0"/>
    <cacheHierarchy uniqueName="[Dim_demographics].[Occupation]" caption="Occupation" attribute="1" defaultMemberUniqueName="[Dim_demographics].[Occupation].[All]" allUniqueName="[Dim_demographics].[Occupation].[All]" dimensionUniqueName="[Dim_demographics]" displayFolder="" count="0" memberValueDatatype="130" unbalanced="0"/>
    <cacheHierarchy uniqueName="[Dim_routes].[RouteID]" caption="RouteID" attribute="1" defaultMemberUniqueName="[Dim_routes].[RouteID].[All]" allUniqueName="[Dim_routes].[RouteID].[All]" dimensionUniqueName="[Dim_routes]" displayFolder="" count="0" memberValueDatatype="20" unbalanced="0"/>
    <cacheHierarchy uniqueName="[Dim_routes].[RouteName]" caption="RouteName" attribute="1" defaultMemberUniqueName="[Dim_routes].[RouteName].[All]" allUniqueName="[Dim_routes].[RouteName].[All]" dimensionUniqueName="[Dim_routes]" displayFolder="" count="2" memberValueDatatype="130" unbalanced="0">
      <fieldsUsage count="2">
        <fieldUsage x="-1"/>
        <fieldUsage x="1"/>
      </fieldsUsage>
    </cacheHierarchy>
    <cacheHierarchy uniqueName="[Dim_routes].[StartLocation]" caption="StartLocation" attribute="1" defaultMemberUniqueName="[Dim_routes].[StartLocation].[All]" allUniqueName="[Dim_routes].[StartLocation].[All]" dimensionUniqueName="[Dim_routes]" displayFolder="" count="0" memberValueDatatype="130" unbalanced="0"/>
    <cacheHierarchy uniqueName="[Dim_routes].[EndLocation]" caption="EndLocation" attribute="1" defaultMemberUniqueName="[Dim_routes].[EndLocation].[All]" allUniqueName="[Dim_routes].[EndLocation].[All]" dimensionUniqueName="[Dim_routes]" displayFolder="" count="0" memberValueDatatype="130" unbalanced="0"/>
    <cacheHierarchy uniqueName="[Dim_routes].[TripFee]" caption="TripFee" attribute="1" defaultMemberUniqueName="[Dim_routes].[TripFee].[All]" allUniqueName="[Dim_routes].[TripFee].[All]" dimensionUniqueName="[Dim_routes]" displayFolder="" count="0" memberValueDatatype="20" unbalanced="0"/>
    <cacheHierarchy uniqueName="[Dim_routes].[TakeOffTime]" caption="TakeOffTime" attribute="1" time="1" defaultMemberUniqueName="[Dim_routes].[TakeOffTime].[All]" allUniqueName="[Dim_routes].[TakeOffTime].[All]" dimensionUniqueName="[Dim_routes]" displayFolder="" count="0" memberValueDatatype="7" unbalanced="0"/>
    <cacheHierarchy uniqueName="[Dim_routes].[ArrivalTime]" caption="ArrivalTime" attribute="1" time="1" defaultMemberUniqueName="[Dim_routes].[ArrivalTime].[All]" allUniqueName="[Dim_routes].[ArrivalTime].[All]" dimensionUniqueName="[Dim_routes]" displayFolder="" count="0" memberValueDatatype="7" unbalanced="0"/>
    <cacheHierarchy uniqueName="[Facttable_ridership].[RecordID]" caption="RecordID" attribute="1" defaultMemberUniqueName="[Facttable_ridership].[RecordID].[All]" allUniqueName="[Facttable_ridership].[RecordID].[All]" dimensionUniqueName="[Facttable_ridership]" displayFolder="" count="0" memberValueDatatype="20" unbalanced="0"/>
    <cacheHierarchy uniqueName="[Facttable_ridership].[BusID]" caption="BusID" attribute="1" defaultMemberUniqueName="[Facttable_ridership].[BusID].[All]" allUniqueName="[Facttable_ridership].[BusID].[All]" dimensionUniqueName="[Facttable_ridership]" displayFolder="" count="0" memberValueDatatype="20" unbalanced="0"/>
    <cacheHierarchy uniqueName="[Facttable_ridership].[Date]" caption="Date" attribute="1" time="1" defaultMemberUniqueName="[Facttable_ridership].[Date].[All]" allUniqueName="[Facttable_ridership].[Date].[All]" dimensionUniqueName="[Facttable_ridership]" displayFolder="" count="0" memberValueDatatype="7" unbalanced="0"/>
    <cacheHierarchy uniqueName="[Facttable_ridership].[Time]" caption="Time" attribute="1" time="1" defaultMemberUniqueName="[Facttable_ridership].[Time].[All]" allUniqueName="[Facttable_ridership].[Time].[All]" dimensionUniqueName="[Facttable_ridership]" displayFolder="" count="2" memberValueDatatype="7" unbalanced="0">
      <fieldsUsage count="2">
        <fieldUsage x="-1"/>
        <fieldUsage x="3"/>
      </fieldsUsage>
    </cacheHierarchy>
    <cacheHierarchy uniqueName="[Facttable_ridership].[Operation Moment]" caption="Operation Moment" attribute="1" defaultMemberUniqueName="[Facttable_ridership].[Operation Moment].[All]" allUniqueName="[Facttable_ridership].[Operation Moment].[All]" dimensionUniqueName="[Facttable_ridership]" displayFolder="" count="0" memberValueDatatype="130" unbalanced="0"/>
    <cacheHierarchy uniqueName="[Facttable_ridership].[Time Group]" caption="Time Group" attribute="1" defaultMemberUniqueName="[Facttable_ridership].[Time Group].[All]" allUniqueName="[Facttable_ridership].[Time Group].[All]" dimensionUniqueName="[Facttable_ridership]" displayFolder="" count="2" memberValueDatatype="130" unbalanced="0">
      <fieldsUsage count="2">
        <fieldUsage x="-1"/>
        <fieldUsage x="2"/>
      </fieldsUsage>
    </cacheHierarchy>
    <cacheHierarchy uniqueName="[Facttable_ridership].[NumberOfRiders]" caption="NumberOfRiders" attribute="1" defaultMemberUniqueName="[Facttable_ridership].[NumberOfRiders].[All]" allUniqueName="[Facttable_ridership].[NumberOfRiders].[All]" dimensionUniqueName="[Facttable_ridership]" displayFolder="" count="0" memberValueDatatype="20" unbalanced="0"/>
    <cacheHierarchy uniqueName="[Facttable_ridership].[RiderID]" caption="RiderID" attribute="1" defaultMemberUniqueName="[Facttable_ridership].[RiderID].[All]" allUniqueName="[Facttable_ridership].[RiderID].[All]" dimensionUniqueName="[Facttable_ridership]" displayFolder="" count="0" memberValueDatatype="20" unbalanced="0"/>
    <cacheHierarchy uniqueName="[Facttable_ridership].[Capacity]" caption="Capacity" attribute="1" defaultMemberUniqueName="[Facttable_ridership].[Capacity].[All]" allUniqueName="[Facttable_ridership].[Capacity].[All]" dimensionUniqueName="[Facttable_ridership]" displayFolder="" count="0" memberValueDatatype="20" unbalanced="0"/>
    <cacheHierarchy uniqueName="[Facttable_ridership].[Utilization Percentage]" caption="Utilization Percentage" attribute="1" defaultMemberUniqueName="[Facttable_ridership].[Utilization Percentage].[All]" allUniqueName="[Facttable_ridership].[Utilization Percentage].[All]" dimensionUniqueName="[Facttable_ridership]" displayFolder="" count="0" memberValueDatatype="5" unbalanced="0"/>
    <cacheHierarchy uniqueName="[Facttable_ridership].[Bus Utilization Category]" caption="Bus Utilization Category" attribute="1" defaultMemberUniqueName="[Facttable_ridership].[Bus Utilization Category].[All]" allUniqueName="[Facttable_ridership].[Bus Utilization Category].[All]" dimensionUniqueName="[Facttable_ridership]" displayFolder="" count="0" memberValueDatatype="130" unbalanced="0"/>
    <cacheHierarchy uniqueName="[Facttable_ridership].[Time (Hour)]" caption="Time (Hour)" attribute="1" defaultMemberUniqueName="[Facttable_ridership].[Time (Hour)].[All]" allUniqueName="[Facttable_ridership].[Time (Hour)].[All]" dimensionUniqueName="[Facttable_ridership]" displayFolder="" count="0" memberValueDatatype="130" unbalanced="0"/>
    <cacheHierarchy uniqueName="[Facttable_ridership].[Time (Minute)]" caption="Time (Minute)" attribute="1" defaultMemberUniqueName="[Facttable_ridership].[Time (Minute)].[All]" allUniqueName="[Facttable_ridership].[Time (Minute)].[All]" dimensionUniqueName="[Facttable_ridership]" displayFolder="" count="0" memberValueDatatype="130" unbalanced="0"/>
    <cacheHierarchy uniqueName="[Measures].[Count of Date]" caption="Count of Date" measure="1" displayFolder="" measureGroup="Facttable_ridership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Age]" caption="Sum of Age" measure="1" displayFolder="" measureGroup="Dim_demographics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Age]" caption="Count of Age" measure="1" displayFolder="" measureGroup="Dim_demographics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BusID]" caption="Sum of BusID" measure="1" displayFolder="" measureGroup="Facttable_ridership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Count of BusID]" caption="Count of BusID" measure="1" displayFolder="" measureGroup="Facttable_ridership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NumberOfRiders]" caption="Sum of NumberOfRiders" measure="1" displayFolder="" measureGroup="Facttable_ridership" count="0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Average of NumberOfRiders]" caption="Average of NumberOfRiders" measure="1" displayFolder="" measureGroup="Facttable_ridership" count="0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Year]" caption="Sum of Year" measure="1" displayFolder="" measureGroup="Dim_DateTabl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Total Transaction]" caption="Total Transaction" measure="1" displayFolder="" measureGroup="Calculations" count="0"/>
    <cacheHierarchy uniqueName="[Measures].[Average Age]" caption="Average Age" measure="1" displayFolder="" measureGroup="Calculations" count="0"/>
    <cacheHierarchy uniqueName="[Measures].[Total Riders(Passengers)]" caption="Total Riders(Passengers)" measure="1" displayFolder="" measureGroup="Calculations" count="0" oneField="1">
      <fieldsUsage count="1">
        <fieldUsage x="0"/>
      </fieldsUsage>
    </cacheHierarchy>
    <cacheHierarchy uniqueName="[Measures].[Avg Riders Per Trip]" caption="Avg Riders Per Trip" measure="1" displayFolder="" measureGroup="Calculations" count="0"/>
    <cacheHierarchy uniqueName="[Measures].[Total Buses]" caption="Total Buses" measure="1" displayFolder="" measureGroup="Calculations" count="0"/>
    <cacheHierarchy uniqueName="[Measures].[__XL_Count Dim_buses]" caption="__XL_Count Dim_buses" measure="1" displayFolder="" measureGroup="Dim_buses" count="0" hidden="1"/>
    <cacheHierarchy uniqueName="[Measures].[__XL_Count Dim_demographics]" caption="__XL_Count Dim_demographics" measure="1" displayFolder="" measureGroup="Dim_demographics" count="0" hidden="1"/>
    <cacheHierarchy uniqueName="[Measures].[__XL_Count Dim_routes]" caption="__XL_Count Dim_routes" measure="1" displayFolder="" measureGroup="Dim_routes" count="0" hidden="1"/>
    <cacheHierarchy uniqueName="[Measures].[__XL_Count Facttable_ridership]" caption="__XL_Count Facttable_ridership" measure="1" displayFolder="" measureGroup="Facttable_ridership" count="0" hidden="1"/>
    <cacheHierarchy uniqueName="[Measures].[__XL_Count Dim_DateTable]" caption="__XL_Count Dim_DateTable" measure="1" displayFolder="" measureGroup="Dim_DateTable" count="0" hidden="1"/>
    <cacheHierarchy uniqueName="[Measures].[__XL_Count Calculations]" caption="__XL_Count Calculations" measure="1" displayFolder="" measureGroup="Calculations" count="0" hidden="1"/>
    <cacheHierarchy uniqueName="[Measures].[__No measures defined]" caption="__No measures defined" measure="1" displayFolder="" count="0" hidden="1"/>
  </cacheHierarchies>
  <kpis count="0"/>
  <dimensions count="7">
    <dimension name="Calculations" uniqueName="[Calculations]" caption="Calculations"/>
    <dimension name="Dim_buses" uniqueName="[Dim_buses]" caption="Dim_buses"/>
    <dimension name="Dim_DateTable" uniqueName="[Dim_DateTable]" caption="Dim_DateTable"/>
    <dimension name="Dim_demographics" uniqueName="[Dim_demographics]" caption="Dim_demographics"/>
    <dimension name="Dim_routes" uniqueName="[Dim_routes]" caption="Dim_routes"/>
    <dimension name="Facttable_ridership" uniqueName="[Facttable_ridership]" caption="Facttable_ridership"/>
    <dimension measure="1" name="Measures" uniqueName="[Measures]" caption="Measures"/>
  </dimensions>
  <measureGroups count="6">
    <measureGroup name="Calculations" caption="Calculations"/>
    <measureGroup name="Dim_buses" caption="Dim_buses"/>
    <measureGroup name="Dim_DateTable" caption="Dim_DateTable"/>
    <measureGroup name="Dim_demographics" caption="Dim_demographics"/>
    <measureGroup name="Dim_routes" caption="Dim_routes"/>
    <measureGroup name="Facttable_ridership" caption="Facttable_ridership"/>
  </measureGroups>
  <maps count="11">
    <map measureGroup="0" dimension="0"/>
    <map measureGroup="1" dimension="1"/>
    <map measureGroup="1" dimension="4"/>
    <map measureGroup="2" dimension="2"/>
    <map measureGroup="3" dimension="3"/>
    <map measureGroup="4" dimension="4"/>
    <map measureGroup="5" dimension="1"/>
    <map measureGroup="5" dimension="2"/>
    <map measureGroup="5" dimension="3"/>
    <map measureGroup="5" dimension="4"/>
    <map measureGroup="5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atyajeet Sahoo" refreshedDate="45970.47923715278" createdVersion="8" refreshedVersion="8" minRefreshableVersion="3" recordCount="0" supportSubquery="1" supportAdvancedDrill="1" xr:uid="{2D49A147-FCB1-4DFC-B01C-DF80DAF86ADA}">
  <cacheSource type="external" connectionId="7"/>
  <cacheFields count="4">
    <cacheField name="[Dim_routes].[RouteName].[RouteName]" caption="RouteName" numFmtId="0" hierarchy="18" level="1">
      <sharedItems count="1">
        <s v="East-West Express"/>
      </sharedItems>
    </cacheField>
    <cacheField name="[Facttable_ridership].[Time].[Time]" caption="Time" numFmtId="0" hierarchy="27" level="1">
      <sharedItems containsSemiMixedTypes="0" containsNonDate="0" containsDate="1" containsString="0" minDate="1899-12-30T12:34:00" maxDate="1899-12-30T12:34:00" count="1">
        <d v="1899-12-30T12:34:00"/>
      </sharedItems>
      <extLst>
        <ext xmlns:x15="http://schemas.microsoft.com/office/spreadsheetml/2010/11/main" uri="{4F2E5C28-24EA-4eb8-9CBF-B6C8F9C3D259}">
          <x15:cachedUniqueNames>
            <x15:cachedUniqueName index="0" name="[Facttable_ridership].[Time].&amp;[1899-12-30T12:34:00]"/>
          </x15:cachedUniqueNames>
        </ext>
      </extLst>
    </cacheField>
    <cacheField name="[Facttable_ridership].[Bus Utilization Category].[Bus Utilization Category]" caption="Bus Utilization Category" numFmtId="0" hierarchy="34" level="1">
      <sharedItems count="3">
        <s v="Over-Utilized"/>
        <s v="Under-Utilized"/>
        <s v="Well-Utilized"/>
      </sharedItems>
    </cacheField>
    <cacheField name="[Measures].[Total Buses]" caption="Total Buses" numFmtId="0" hierarchy="49" level="32767"/>
  </cacheFields>
  <cacheHierarchies count="57">
    <cacheHierarchy uniqueName="[Calculations].[Calculation]" caption="Calculation" attribute="1" defaultMemberUniqueName="[Calculations].[Calculation].[All]" allUniqueName="[Calculations].[Calculation].[All]" dimensionUniqueName="[Calculations]" displayFolder="" count="0" memberValueDatatype="20" unbalanced="0"/>
    <cacheHierarchy uniqueName="[Dim_buses].[BusID]" caption="BusID" attribute="1" defaultMemberUniqueName="[Dim_buses].[BusID].[All]" allUniqueName="[Dim_buses].[BusID].[All]" dimensionUniqueName="[Dim_buses]" displayFolder="" count="0" memberValueDatatype="20" unbalanced="0"/>
    <cacheHierarchy uniqueName="[Dim_buses].[RouteID]" caption="RouteID" attribute="1" defaultMemberUniqueName="[Dim_buses].[RouteID].[All]" allUniqueName="[Dim_buses].[RouteID].[All]" dimensionUniqueName="[Dim_buses]" displayFolder="" count="0" memberValueDatatype="20" unbalanced="0"/>
    <cacheHierarchy uniqueName="[Dim_buses].[BusNumber]" caption="BusNumber" attribute="1" defaultMemberUniqueName="[Dim_buses].[BusNumber].[All]" allUniqueName="[Dim_buses].[BusNumber].[All]" dimensionUniqueName="[Dim_buses]" displayFolder="" count="0" memberValueDatatype="130" unbalanced="0"/>
    <cacheHierarchy uniqueName="[Dim_buses].[Capacity]" caption="Capacity" attribute="1" defaultMemberUniqueName="[Dim_buses].[Capacity].[All]" allUniqueName="[Dim_buses].[Capacity].[All]" dimensionUniqueName="[Dim_buses]" displayFolder="" count="0" memberValueDatatype="20" unbalanced="0"/>
    <cacheHierarchy uniqueName="[Dim_DateTable].[Date]" caption="Date" attribute="1" time="1" defaultMemberUniqueName="[Dim_DateTable].[Date].[All]" allUniqueName="[Dim_DateTable].[Date].[All]" dimensionUniqueName="[Dim_DateTable]" displayFolder="" count="0" memberValueDatatype="7" unbalanced="0"/>
    <cacheHierarchy uniqueName="[Dim_DateTable].[Year]" caption="Year" attribute="1" defaultMemberUniqueName="[Dim_DateTable].[Year].[All]" allUniqueName="[Dim_DateTable].[Year].[All]" dimensionUniqueName="[Dim_DateTable]" displayFolder="" count="0" memberValueDatatype="20" unbalanced="0"/>
    <cacheHierarchy uniqueName="[Dim_DateTable].[Month Name]" caption="Month Name" attribute="1" defaultMemberUniqueName="[Dim_DateTable].[Month Name].[All]" allUniqueName="[Dim_DateTable].[Month Name].[All]" dimensionUniqueName="[Dim_DateTable]" displayFolder="" count="0" memberValueDatatype="130" unbalanced="0"/>
    <cacheHierarchy uniqueName="[Dim_DateTable].[Month Number]" caption="Month Number" attribute="1" defaultMemberUniqueName="[Dim_DateTable].[Month Number].[All]" allUniqueName="[Dim_DateTable].[Month Number].[All]" dimensionUniqueName="[Dim_DateTable]" displayFolder="" count="0" memberValueDatatype="20" unbalanced="0"/>
    <cacheHierarchy uniqueName="[Dim_DateTable].[Day Name]" caption="Day Name" attribute="1" defaultMemberUniqueName="[Dim_DateTable].[Day Name].[All]" allUniqueName="[Dim_DateTable].[Day Name].[All]" dimensionUniqueName="[Dim_DateTable]" displayFolder="" count="0" memberValueDatatype="130" unbalanced="0"/>
    <cacheHierarchy uniqueName="[Dim_DateTable].[Week Number]" caption="Week Number" attribute="1" defaultMemberUniqueName="[Dim_DateTable].[Week Number].[All]" allUniqueName="[Dim_DateTable].[Week Number].[All]" dimensionUniqueName="[Dim_DateTable]" displayFolder="" count="0" memberValueDatatype="20" unbalanced="0"/>
    <cacheHierarchy uniqueName="[Dim_DateTable].[Week Type]" caption="Week Type" attribute="1" defaultMemberUniqueName="[Dim_DateTable].[Week Type].[All]" allUniqueName="[Dim_DateTable].[Week Type].[All]" dimensionUniqueName="[Dim_DateTable]" displayFolder="" count="0" memberValueDatatype="130" unbalanced="0"/>
    <cacheHierarchy uniqueName="[Dim_demographics].[RiderID]" caption="RiderID" attribute="1" defaultMemberUniqueName="[Dim_demographics].[RiderID].[All]" allUniqueName="[Dim_demographics].[RiderID].[All]" dimensionUniqueName="[Dim_demographics]" displayFolder="" count="0" memberValueDatatype="20" unbalanced="0"/>
    <cacheHierarchy uniqueName="[Dim_demographics].[Age]" caption="Age" attribute="1" defaultMemberUniqueName="[Dim_demographics].[Age].[All]" allUniqueName="[Dim_demographics].[Age].[All]" dimensionUniqueName="[Dim_demographics]" displayFolder="" count="0" memberValueDatatype="20" unbalanced="0"/>
    <cacheHierarchy uniqueName="[Dim_demographics].[Age Bucket]" caption="Age Bucket" attribute="1" defaultMemberUniqueName="[Dim_demographics].[Age Bucket].[All]" allUniqueName="[Dim_demographics].[Age Bucket].[All]" dimensionUniqueName="[Dim_demographics]" displayFolder="" count="0" memberValueDatatype="130" unbalanced="0"/>
    <cacheHierarchy uniqueName="[Dim_demographics].[Gender]" caption="Gender" attribute="1" defaultMemberUniqueName="[Dim_demographics].[Gender].[All]" allUniqueName="[Dim_demographics].[Gender].[All]" dimensionUniqueName="[Dim_demographics]" displayFolder="" count="0" memberValueDatatype="130" unbalanced="0"/>
    <cacheHierarchy uniqueName="[Dim_demographics].[Occupation]" caption="Occupation" attribute="1" defaultMemberUniqueName="[Dim_demographics].[Occupation].[All]" allUniqueName="[Dim_demographics].[Occupation].[All]" dimensionUniqueName="[Dim_demographics]" displayFolder="" count="0" memberValueDatatype="130" unbalanced="0"/>
    <cacheHierarchy uniqueName="[Dim_routes].[RouteID]" caption="RouteID" attribute="1" defaultMemberUniqueName="[Dim_routes].[RouteID].[All]" allUniqueName="[Dim_routes].[RouteID].[All]" dimensionUniqueName="[Dim_routes]" displayFolder="" count="0" memberValueDatatype="20" unbalanced="0"/>
    <cacheHierarchy uniqueName="[Dim_routes].[RouteName]" caption="RouteName" attribute="1" defaultMemberUniqueName="[Dim_routes].[RouteName].[All]" allUniqueName="[Dim_routes].[RouteName].[All]" dimensionUniqueName="[Dim_routes]" displayFolder="" count="2" memberValueDatatype="130" unbalanced="0">
      <fieldsUsage count="2">
        <fieldUsage x="-1"/>
        <fieldUsage x="0"/>
      </fieldsUsage>
    </cacheHierarchy>
    <cacheHierarchy uniqueName="[Dim_routes].[StartLocation]" caption="StartLocation" attribute="1" defaultMemberUniqueName="[Dim_routes].[StartLocation].[All]" allUniqueName="[Dim_routes].[StartLocation].[All]" dimensionUniqueName="[Dim_routes]" displayFolder="" count="0" memberValueDatatype="130" unbalanced="0"/>
    <cacheHierarchy uniqueName="[Dim_routes].[EndLocation]" caption="EndLocation" attribute="1" defaultMemberUniqueName="[Dim_routes].[EndLocation].[All]" allUniqueName="[Dim_routes].[EndLocation].[All]" dimensionUniqueName="[Dim_routes]" displayFolder="" count="0" memberValueDatatype="130" unbalanced="0"/>
    <cacheHierarchy uniqueName="[Dim_routes].[TripFee]" caption="TripFee" attribute="1" defaultMemberUniqueName="[Dim_routes].[TripFee].[All]" allUniqueName="[Dim_routes].[TripFee].[All]" dimensionUniqueName="[Dim_routes]" displayFolder="" count="0" memberValueDatatype="20" unbalanced="0"/>
    <cacheHierarchy uniqueName="[Dim_routes].[TakeOffTime]" caption="TakeOffTime" attribute="1" time="1" defaultMemberUniqueName="[Dim_routes].[TakeOffTime].[All]" allUniqueName="[Dim_routes].[TakeOffTime].[All]" dimensionUniqueName="[Dim_routes]" displayFolder="" count="0" memberValueDatatype="7" unbalanced="0"/>
    <cacheHierarchy uniqueName="[Dim_routes].[ArrivalTime]" caption="ArrivalTime" attribute="1" time="1" defaultMemberUniqueName="[Dim_routes].[ArrivalTime].[All]" allUniqueName="[Dim_routes].[ArrivalTime].[All]" dimensionUniqueName="[Dim_routes]" displayFolder="" count="0" memberValueDatatype="7" unbalanced="0"/>
    <cacheHierarchy uniqueName="[Facttable_ridership].[RecordID]" caption="RecordID" attribute="1" defaultMemberUniqueName="[Facttable_ridership].[RecordID].[All]" allUniqueName="[Facttable_ridership].[RecordID].[All]" dimensionUniqueName="[Facttable_ridership]" displayFolder="" count="0" memberValueDatatype="20" unbalanced="0"/>
    <cacheHierarchy uniqueName="[Facttable_ridership].[BusID]" caption="BusID" attribute="1" defaultMemberUniqueName="[Facttable_ridership].[BusID].[All]" allUniqueName="[Facttable_ridership].[BusID].[All]" dimensionUniqueName="[Facttable_ridership]" displayFolder="" count="0" memberValueDatatype="20" unbalanced="0"/>
    <cacheHierarchy uniqueName="[Facttable_ridership].[Date]" caption="Date" attribute="1" time="1" defaultMemberUniqueName="[Facttable_ridership].[Date].[All]" allUniqueName="[Facttable_ridership].[Date].[All]" dimensionUniqueName="[Facttable_ridership]" displayFolder="" count="0" memberValueDatatype="7" unbalanced="0"/>
    <cacheHierarchy uniqueName="[Facttable_ridership].[Time]" caption="Time" attribute="1" time="1" defaultMemberUniqueName="[Facttable_ridership].[Time].[All]" allUniqueName="[Facttable_ridership].[Time].[All]" dimensionUniqueName="[Facttable_ridership]" displayFolder="" count="2" memberValueDatatype="7" unbalanced="0">
      <fieldsUsage count="2">
        <fieldUsage x="-1"/>
        <fieldUsage x="1"/>
      </fieldsUsage>
    </cacheHierarchy>
    <cacheHierarchy uniqueName="[Facttable_ridership].[Operation Moment]" caption="Operation Moment" attribute="1" defaultMemberUniqueName="[Facttable_ridership].[Operation Moment].[All]" allUniqueName="[Facttable_ridership].[Operation Moment].[All]" dimensionUniqueName="[Facttable_ridership]" displayFolder="" count="0" memberValueDatatype="130" unbalanced="0"/>
    <cacheHierarchy uniqueName="[Facttable_ridership].[Time Group]" caption="Time Group" attribute="1" defaultMemberUniqueName="[Facttable_ridership].[Time Group].[All]" allUniqueName="[Facttable_ridership].[Time Group].[All]" dimensionUniqueName="[Facttable_ridership]" displayFolder="" count="0" memberValueDatatype="130" unbalanced="0"/>
    <cacheHierarchy uniqueName="[Facttable_ridership].[NumberOfRiders]" caption="NumberOfRiders" attribute="1" defaultMemberUniqueName="[Facttable_ridership].[NumberOfRiders].[All]" allUniqueName="[Facttable_ridership].[NumberOfRiders].[All]" dimensionUniqueName="[Facttable_ridership]" displayFolder="" count="0" memberValueDatatype="20" unbalanced="0"/>
    <cacheHierarchy uniqueName="[Facttable_ridership].[RiderID]" caption="RiderID" attribute="1" defaultMemberUniqueName="[Facttable_ridership].[RiderID].[All]" allUniqueName="[Facttable_ridership].[RiderID].[All]" dimensionUniqueName="[Facttable_ridership]" displayFolder="" count="0" memberValueDatatype="20" unbalanced="0"/>
    <cacheHierarchy uniqueName="[Facttable_ridership].[Capacity]" caption="Capacity" attribute="1" defaultMemberUniqueName="[Facttable_ridership].[Capacity].[All]" allUniqueName="[Facttable_ridership].[Capacity].[All]" dimensionUniqueName="[Facttable_ridership]" displayFolder="" count="0" memberValueDatatype="20" unbalanced="0"/>
    <cacheHierarchy uniqueName="[Facttable_ridership].[Utilization Percentage]" caption="Utilization Percentage" attribute="1" defaultMemberUniqueName="[Facttable_ridership].[Utilization Percentage].[All]" allUniqueName="[Facttable_ridership].[Utilization Percentage].[All]" dimensionUniqueName="[Facttable_ridership]" displayFolder="" count="0" memberValueDatatype="5" unbalanced="0"/>
    <cacheHierarchy uniqueName="[Facttable_ridership].[Bus Utilization Category]" caption="Bus Utilization Category" attribute="1" defaultMemberUniqueName="[Facttable_ridership].[Bus Utilization Category].[All]" allUniqueName="[Facttable_ridership].[Bus Utilization Category].[All]" dimensionUniqueName="[Facttable_ridership]" displayFolder="" count="2" memberValueDatatype="130" unbalanced="0">
      <fieldsUsage count="2">
        <fieldUsage x="-1"/>
        <fieldUsage x="2"/>
      </fieldsUsage>
    </cacheHierarchy>
    <cacheHierarchy uniqueName="[Facttable_ridership].[Time (Hour)]" caption="Time (Hour)" attribute="1" defaultMemberUniqueName="[Facttable_ridership].[Time (Hour)].[All]" allUniqueName="[Facttable_ridership].[Time (Hour)].[All]" dimensionUniqueName="[Facttable_ridership]" displayFolder="" count="0" memberValueDatatype="130" unbalanced="0"/>
    <cacheHierarchy uniqueName="[Facttable_ridership].[Time (Minute)]" caption="Time (Minute)" attribute="1" defaultMemberUniqueName="[Facttable_ridership].[Time (Minute)].[All]" allUniqueName="[Facttable_ridership].[Time (Minute)].[All]" dimensionUniqueName="[Facttable_ridership]" displayFolder="" count="0" memberValueDatatype="130" unbalanced="0"/>
    <cacheHierarchy uniqueName="[Measures].[Count of Date]" caption="Count of Date" measure="1" displayFolder="" measureGroup="Facttable_ridership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Age]" caption="Sum of Age" measure="1" displayFolder="" measureGroup="Dim_demographics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Age]" caption="Count of Age" measure="1" displayFolder="" measureGroup="Dim_demographics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BusID]" caption="Sum of BusID" measure="1" displayFolder="" measureGroup="Facttable_ridership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Count of BusID]" caption="Count of BusID" measure="1" displayFolder="" measureGroup="Facttable_ridership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NumberOfRiders]" caption="Sum of NumberOfRiders" measure="1" displayFolder="" measureGroup="Facttable_ridership" count="0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Average of NumberOfRiders]" caption="Average of NumberOfRiders" measure="1" displayFolder="" measureGroup="Facttable_ridership" count="0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Year]" caption="Sum of Year" measure="1" displayFolder="" measureGroup="Dim_DateTabl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Total Transaction]" caption="Total Transaction" measure="1" displayFolder="" measureGroup="Calculations" count="0"/>
    <cacheHierarchy uniqueName="[Measures].[Average Age]" caption="Average Age" measure="1" displayFolder="" measureGroup="Calculations" count="0"/>
    <cacheHierarchy uniqueName="[Measures].[Total Riders(Passengers)]" caption="Total Riders(Passengers)" measure="1" displayFolder="" measureGroup="Calculations" count="0"/>
    <cacheHierarchy uniqueName="[Measures].[Avg Riders Per Trip]" caption="Avg Riders Per Trip" measure="1" displayFolder="" measureGroup="Calculations" count="0"/>
    <cacheHierarchy uniqueName="[Measures].[Total Buses]" caption="Total Buses" measure="1" displayFolder="" measureGroup="Calculations" count="0" oneField="1">
      <fieldsUsage count="1">
        <fieldUsage x="3"/>
      </fieldsUsage>
    </cacheHierarchy>
    <cacheHierarchy uniqueName="[Measures].[__XL_Count Dim_buses]" caption="__XL_Count Dim_buses" measure="1" displayFolder="" measureGroup="Dim_buses" count="0" hidden="1"/>
    <cacheHierarchy uniqueName="[Measures].[__XL_Count Dim_demographics]" caption="__XL_Count Dim_demographics" measure="1" displayFolder="" measureGroup="Dim_demographics" count="0" hidden="1"/>
    <cacheHierarchy uniqueName="[Measures].[__XL_Count Dim_routes]" caption="__XL_Count Dim_routes" measure="1" displayFolder="" measureGroup="Dim_routes" count="0" hidden="1"/>
    <cacheHierarchy uniqueName="[Measures].[__XL_Count Facttable_ridership]" caption="__XL_Count Facttable_ridership" measure="1" displayFolder="" measureGroup="Facttable_ridership" count="0" hidden="1"/>
    <cacheHierarchy uniqueName="[Measures].[__XL_Count Dim_DateTable]" caption="__XL_Count Dim_DateTable" measure="1" displayFolder="" measureGroup="Dim_DateTable" count="0" hidden="1"/>
    <cacheHierarchy uniqueName="[Measures].[__XL_Count Calculations]" caption="__XL_Count Calculations" measure="1" displayFolder="" measureGroup="Calculations" count="0" hidden="1"/>
    <cacheHierarchy uniqueName="[Measures].[__No measures defined]" caption="__No measures defined" measure="1" displayFolder="" count="0" hidden="1"/>
  </cacheHierarchies>
  <kpis count="0"/>
  <dimensions count="7">
    <dimension name="Calculations" uniqueName="[Calculations]" caption="Calculations"/>
    <dimension name="Dim_buses" uniqueName="[Dim_buses]" caption="Dim_buses"/>
    <dimension name="Dim_DateTable" uniqueName="[Dim_DateTable]" caption="Dim_DateTable"/>
    <dimension name="Dim_demographics" uniqueName="[Dim_demographics]" caption="Dim_demographics"/>
    <dimension name="Dim_routes" uniqueName="[Dim_routes]" caption="Dim_routes"/>
    <dimension name="Facttable_ridership" uniqueName="[Facttable_ridership]" caption="Facttable_ridership"/>
    <dimension measure="1" name="Measures" uniqueName="[Measures]" caption="Measures"/>
  </dimensions>
  <measureGroups count="6">
    <measureGroup name="Calculations" caption="Calculations"/>
    <measureGroup name="Dim_buses" caption="Dim_buses"/>
    <measureGroup name="Dim_DateTable" caption="Dim_DateTable"/>
    <measureGroup name="Dim_demographics" caption="Dim_demographics"/>
    <measureGroup name="Dim_routes" caption="Dim_routes"/>
    <measureGroup name="Facttable_ridership" caption="Facttable_ridership"/>
  </measureGroups>
  <maps count="11">
    <map measureGroup="0" dimension="0"/>
    <map measureGroup="1" dimension="1"/>
    <map measureGroup="1" dimension="4"/>
    <map measureGroup="2" dimension="2"/>
    <map measureGroup="3" dimension="3"/>
    <map measureGroup="4" dimension="4"/>
    <map measureGroup="5" dimension="1"/>
    <map measureGroup="5" dimension="2"/>
    <map measureGroup="5" dimension="3"/>
    <map measureGroup="5" dimension="4"/>
    <map measureGroup="5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atyajeet Sahoo" refreshedDate="45970.535130671298" createdVersion="8" refreshedVersion="8" minRefreshableVersion="3" recordCount="0" supportSubquery="1" supportAdvancedDrill="1" xr:uid="{71524F04-9C3C-4721-AC00-6D865F1070B1}">
  <cacheSource type="external" connectionId="7"/>
  <cacheFields count="4">
    <cacheField name="[Dim_routes].[RouteName].[RouteName]" caption="RouteName" numFmtId="0" hierarchy="18" level="1">
      <sharedItems count="1">
        <s v="East-West Express"/>
      </sharedItems>
    </cacheField>
    <cacheField name="[Facttable_ridership].[Time].[Time]" caption="Time" numFmtId="0" hierarchy="27" level="1">
      <sharedItems containsSemiMixedTypes="0" containsNonDate="0" containsDate="1" containsString="0" minDate="1899-12-30T12:34:00" maxDate="1899-12-30T12:34:00" count="1">
        <d v="1899-12-30T12:34:00"/>
      </sharedItems>
      <extLst>
        <ext xmlns:x15="http://schemas.microsoft.com/office/spreadsheetml/2010/11/main" uri="{4F2E5C28-24EA-4eb8-9CBF-B6C8F9C3D259}">
          <x15:cachedUniqueNames>
            <x15:cachedUniqueName index="0" name="[Facttable_ridership].[Time].&amp;[1899-12-30T12:34:00]"/>
          </x15:cachedUniqueNames>
        </ext>
      </extLst>
    </cacheField>
    <cacheField name="[Facttable_ridership].[Operation Moment].[Operation Moment]" caption="Operation Moment" numFmtId="0" hierarchy="28" level="1">
      <sharedItems count="2">
        <s v="AM"/>
        <s v="PM"/>
      </sharedItems>
    </cacheField>
    <cacheField name="[Measures].[Total Riders(Passengers)]" caption="Total Riders(Passengers)" numFmtId="0" hierarchy="47" level="32767"/>
  </cacheFields>
  <cacheHierarchies count="57">
    <cacheHierarchy uniqueName="[Calculations].[Calculation]" caption="Calculation" attribute="1" defaultMemberUniqueName="[Calculations].[Calculation].[All]" allUniqueName="[Calculations].[Calculation].[All]" dimensionUniqueName="[Calculations]" displayFolder="" count="0" memberValueDatatype="20" unbalanced="0"/>
    <cacheHierarchy uniqueName="[Dim_buses].[BusID]" caption="BusID" attribute="1" defaultMemberUniqueName="[Dim_buses].[BusID].[All]" allUniqueName="[Dim_buses].[BusID].[All]" dimensionUniqueName="[Dim_buses]" displayFolder="" count="0" memberValueDatatype="20" unbalanced="0"/>
    <cacheHierarchy uniqueName="[Dim_buses].[RouteID]" caption="RouteID" attribute="1" defaultMemberUniqueName="[Dim_buses].[RouteID].[All]" allUniqueName="[Dim_buses].[RouteID].[All]" dimensionUniqueName="[Dim_buses]" displayFolder="" count="0" memberValueDatatype="20" unbalanced="0"/>
    <cacheHierarchy uniqueName="[Dim_buses].[BusNumber]" caption="BusNumber" attribute="1" defaultMemberUniqueName="[Dim_buses].[BusNumber].[All]" allUniqueName="[Dim_buses].[BusNumber].[All]" dimensionUniqueName="[Dim_buses]" displayFolder="" count="0" memberValueDatatype="130" unbalanced="0"/>
    <cacheHierarchy uniqueName="[Dim_buses].[Capacity]" caption="Capacity" attribute="1" defaultMemberUniqueName="[Dim_buses].[Capacity].[All]" allUniqueName="[Dim_buses].[Capacity].[All]" dimensionUniqueName="[Dim_buses]" displayFolder="" count="0" memberValueDatatype="20" unbalanced="0"/>
    <cacheHierarchy uniqueName="[Dim_DateTable].[Date]" caption="Date" attribute="1" time="1" defaultMemberUniqueName="[Dim_DateTable].[Date].[All]" allUniqueName="[Dim_DateTable].[Date].[All]" dimensionUniqueName="[Dim_DateTable]" displayFolder="" count="0" memberValueDatatype="7" unbalanced="0"/>
    <cacheHierarchy uniqueName="[Dim_DateTable].[Year]" caption="Year" attribute="1" defaultMemberUniqueName="[Dim_DateTable].[Year].[All]" allUniqueName="[Dim_DateTable].[Year].[All]" dimensionUniqueName="[Dim_DateTable]" displayFolder="" count="0" memberValueDatatype="20" unbalanced="0"/>
    <cacheHierarchy uniqueName="[Dim_DateTable].[Month Name]" caption="Month Name" attribute="1" defaultMemberUniqueName="[Dim_DateTable].[Month Name].[All]" allUniqueName="[Dim_DateTable].[Month Name].[All]" dimensionUniqueName="[Dim_DateTable]" displayFolder="" count="0" memberValueDatatype="130" unbalanced="0"/>
    <cacheHierarchy uniqueName="[Dim_DateTable].[Month Number]" caption="Month Number" attribute="1" defaultMemberUniqueName="[Dim_DateTable].[Month Number].[All]" allUniqueName="[Dim_DateTable].[Month Number].[All]" dimensionUniqueName="[Dim_DateTable]" displayFolder="" count="0" memberValueDatatype="20" unbalanced="0"/>
    <cacheHierarchy uniqueName="[Dim_DateTable].[Day Name]" caption="Day Name" attribute="1" defaultMemberUniqueName="[Dim_DateTable].[Day Name].[All]" allUniqueName="[Dim_DateTable].[Day Name].[All]" dimensionUniqueName="[Dim_DateTable]" displayFolder="" count="0" memberValueDatatype="130" unbalanced="0"/>
    <cacheHierarchy uniqueName="[Dim_DateTable].[Week Number]" caption="Week Number" attribute="1" defaultMemberUniqueName="[Dim_DateTable].[Week Number].[All]" allUniqueName="[Dim_DateTable].[Week Number].[All]" dimensionUniqueName="[Dim_DateTable]" displayFolder="" count="0" memberValueDatatype="20" unbalanced="0"/>
    <cacheHierarchy uniqueName="[Dim_DateTable].[Week Type]" caption="Week Type" attribute="1" defaultMemberUniqueName="[Dim_DateTable].[Week Type].[All]" allUniqueName="[Dim_DateTable].[Week Type].[All]" dimensionUniqueName="[Dim_DateTable]" displayFolder="" count="0" memberValueDatatype="130" unbalanced="0"/>
    <cacheHierarchy uniqueName="[Dim_demographics].[RiderID]" caption="RiderID" attribute="1" defaultMemberUniqueName="[Dim_demographics].[RiderID].[All]" allUniqueName="[Dim_demographics].[RiderID].[All]" dimensionUniqueName="[Dim_demographics]" displayFolder="" count="0" memberValueDatatype="20" unbalanced="0"/>
    <cacheHierarchy uniqueName="[Dim_demographics].[Age]" caption="Age" attribute="1" defaultMemberUniqueName="[Dim_demographics].[Age].[All]" allUniqueName="[Dim_demographics].[Age].[All]" dimensionUniqueName="[Dim_demographics]" displayFolder="" count="0" memberValueDatatype="20" unbalanced="0"/>
    <cacheHierarchy uniqueName="[Dim_demographics].[Age Bucket]" caption="Age Bucket" attribute="1" defaultMemberUniqueName="[Dim_demographics].[Age Bucket].[All]" allUniqueName="[Dim_demographics].[Age Bucket].[All]" dimensionUniqueName="[Dim_demographics]" displayFolder="" count="0" memberValueDatatype="130" unbalanced="0"/>
    <cacheHierarchy uniqueName="[Dim_demographics].[Gender]" caption="Gender" attribute="1" defaultMemberUniqueName="[Dim_demographics].[Gender].[All]" allUniqueName="[Dim_demographics].[Gender].[All]" dimensionUniqueName="[Dim_demographics]" displayFolder="" count="0" memberValueDatatype="130" unbalanced="0"/>
    <cacheHierarchy uniqueName="[Dim_demographics].[Occupation]" caption="Occupation" attribute="1" defaultMemberUniqueName="[Dim_demographics].[Occupation].[All]" allUniqueName="[Dim_demographics].[Occupation].[All]" dimensionUniqueName="[Dim_demographics]" displayFolder="" count="0" memberValueDatatype="130" unbalanced="0"/>
    <cacheHierarchy uniqueName="[Dim_routes].[RouteID]" caption="RouteID" attribute="1" defaultMemberUniqueName="[Dim_routes].[RouteID].[All]" allUniqueName="[Dim_routes].[RouteID].[All]" dimensionUniqueName="[Dim_routes]" displayFolder="" count="0" memberValueDatatype="20" unbalanced="0"/>
    <cacheHierarchy uniqueName="[Dim_routes].[RouteName]" caption="RouteName" attribute="1" defaultMemberUniqueName="[Dim_routes].[RouteName].[All]" allUniqueName="[Dim_routes].[RouteName].[All]" dimensionUniqueName="[Dim_routes]" displayFolder="" count="2" memberValueDatatype="130" unbalanced="0">
      <fieldsUsage count="2">
        <fieldUsage x="-1"/>
        <fieldUsage x="0"/>
      </fieldsUsage>
    </cacheHierarchy>
    <cacheHierarchy uniqueName="[Dim_routes].[StartLocation]" caption="StartLocation" attribute="1" defaultMemberUniqueName="[Dim_routes].[StartLocation].[All]" allUniqueName="[Dim_routes].[StartLocation].[All]" dimensionUniqueName="[Dim_routes]" displayFolder="" count="0" memberValueDatatype="130" unbalanced="0"/>
    <cacheHierarchy uniqueName="[Dim_routes].[EndLocation]" caption="EndLocation" attribute="1" defaultMemberUniqueName="[Dim_routes].[EndLocation].[All]" allUniqueName="[Dim_routes].[EndLocation].[All]" dimensionUniqueName="[Dim_routes]" displayFolder="" count="0" memberValueDatatype="130" unbalanced="0"/>
    <cacheHierarchy uniqueName="[Dim_routes].[TripFee]" caption="TripFee" attribute="1" defaultMemberUniqueName="[Dim_routes].[TripFee].[All]" allUniqueName="[Dim_routes].[TripFee].[All]" dimensionUniqueName="[Dim_routes]" displayFolder="" count="0" memberValueDatatype="20" unbalanced="0"/>
    <cacheHierarchy uniqueName="[Dim_routes].[TakeOffTime]" caption="TakeOffTime" attribute="1" time="1" defaultMemberUniqueName="[Dim_routes].[TakeOffTime].[All]" allUniqueName="[Dim_routes].[TakeOffTime].[All]" dimensionUniqueName="[Dim_routes]" displayFolder="" count="0" memberValueDatatype="7" unbalanced="0"/>
    <cacheHierarchy uniqueName="[Dim_routes].[ArrivalTime]" caption="ArrivalTime" attribute="1" time="1" defaultMemberUniqueName="[Dim_routes].[ArrivalTime].[All]" allUniqueName="[Dim_routes].[ArrivalTime].[All]" dimensionUniqueName="[Dim_routes]" displayFolder="" count="0" memberValueDatatype="7" unbalanced="0"/>
    <cacheHierarchy uniqueName="[Facttable_ridership].[RecordID]" caption="RecordID" attribute="1" defaultMemberUniqueName="[Facttable_ridership].[RecordID].[All]" allUniqueName="[Facttable_ridership].[RecordID].[All]" dimensionUniqueName="[Facttable_ridership]" displayFolder="" count="0" memberValueDatatype="20" unbalanced="0"/>
    <cacheHierarchy uniqueName="[Facttable_ridership].[BusID]" caption="BusID" attribute="1" defaultMemberUniqueName="[Facttable_ridership].[BusID].[All]" allUniqueName="[Facttable_ridership].[BusID].[All]" dimensionUniqueName="[Facttable_ridership]" displayFolder="" count="0" memberValueDatatype="20" unbalanced="0"/>
    <cacheHierarchy uniqueName="[Facttable_ridership].[Date]" caption="Date" attribute="1" time="1" defaultMemberUniqueName="[Facttable_ridership].[Date].[All]" allUniqueName="[Facttable_ridership].[Date].[All]" dimensionUniqueName="[Facttable_ridership]" displayFolder="" count="0" memberValueDatatype="7" unbalanced="0"/>
    <cacheHierarchy uniqueName="[Facttable_ridership].[Time]" caption="Time" attribute="1" time="1" defaultMemberUniqueName="[Facttable_ridership].[Time].[All]" allUniqueName="[Facttable_ridership].[Time].[All]" dimensionUniqueName="[Facttable_ridership]" displayFolder="" count="2" memberValueDatatype="7" unbalanced="0">
      <fieldsUsage count="2">
        <fieldUsage x="-1"/>
        <fieldUsage x="1"/>
      </fieldsUsage>
    </cacheHierarchy>
    <cacheHierarchy uniqueName="[Facttable_ridership].[Operation Moment]" caption="Operation Moment" attribute="1" defaultMemberUniqueName="[Facttable_ridership].[Operation Moment].[All]" allUniqueName="[Facttable_ridership].[Operation Moment].[All]" dimensionUniqueName="[Facttable_ridership]" displayFolder="" count="2" memberValueDatatype="130" unbalanced="0">
      <fieldsUsage count="2">
        <fieldUsage x="-1"/>
        <fieldUsage x="2"/>
      </fieldsUsage>
    </cacheHierarchy>
    <cacheHierarchy uniqueName="[Facttable_ridership].[Time Group]" caption="Time Group" attribute="1" defaultMemberUniqueName="[Facttable_ridership].[Time Group].[All]" allUniqueName="[Facttable_ridership].[Time Group].[All]" dimensionUniqueName="[Facttable_ridership]" displayFolder="" count="0" memberValueDatatype="130" unbalanced="0"/>
    <cacheHierarchy uniqueName="[Facttable_ridership].[NumberOfRiders]" caption="NumberOfRiders" attribute="1" defaultMemberUniqueName="[Facttable_ridership].[NumberOfRiders].[All]" allUniqueName="[Facttable_ridership].[NumberOfRiders].[All]" dimensionUniqueName="[Facttable_ridership]" displayFolder="" count="0" memberValueDatatype="20" unbalanced="0"/>
    <cacheHierarchy uniqueName="[Facttable_ridership].[RiderID]" caption="RiderID" attribute="1" defaultMemberUniqueName="[Facttable_ridership].[RiderID].[All]" allUniqueName="[Facttable_ridership].[RiderID].[All]" dimensionUniqueName="[Facttable_ridership]" displayFolder="" count="0" memberValueDatatype="20" unbalanced="0"/>
    <cacheHierarchy uniqueName="[Facttable_ridership].[Capacity]" caption="Capacity" attribute="1" defaultMemberUniqueName="[Facttable_ridership].[Capacity].[All]" allUniqueName="[Facttable_ridership].[Capacity].[All]" dimensionUniqueName="[Facttable_ridership]" displayFolder="" count="0" memberValueDatatype="20" unbalanced="0"/>
    <cacheHierarchy uniqueName="[Facttable_ridership].[Utilization Percentage]" caption="Utilization Percentage" attribute="1" defaultMemberUniqueName="[Facttable_ridership].[Utilization Percentage].[All]" allUniqueName="[Facttable_ridership].[Utilization Percentage].[All]" dimensionUniqueName="[Facttable_ridership]" displayFolder="" count="0" memberValueDatatype="5" unbalanced="0"/>
    <cacheHierarchy uniqueName="[Facttable_ridership].[Bus Utilization Category]" caption="Bus Utilization Category" attribute="1" defaultMemberUniqueName="[Facttable_ridership].[Bus Utilization Category].[All]" allUniqueName="[Facttable_ridership].[Bus Utilization Category].[All]" dimensionUniqueName="[Facttable_ridership]" displayFolder="" count="2" memberValueDatatype="130" unbalanced="0"/>
    <cacheHierarchy uniqueName="[Facttable_ridership].[Time (Hour)]" caption="Time (Hour)" attribute="1" defaultMemberUniqueName="[Facttable_ridership].[Time (Hour)].[All]" allUniqueName="[Facttable_ridership].[Time (Hour)].[All]" dimensionUniqueName="[Facttable_ridership]" displayFolder="" count="0" memberValueDatatype="130" unbalanced="0"/>
    <cacheHierarchy uniqueName="[Facttable_ridership].[Time (Minute)]" caption="Time (Minute)" attribute="1" defaultMemberUniqueName="[Facttable_ridership].[Time (Minute)].[All]" allUniqueName="[Facttable_ridership].[Time (Minute)].[All]" dimensionUniqueName="[Facttable_ridership]" displayFolder="" count="0" memberValueDatatype="130" unbalanced="0"/>
    <cacheHierarchy uniqueName="[Measures].[Count of Date]" caption="Count of Date" measure="1" displayFolder="" measureGroup="Facttable_ridership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Age]" caption="Sum of Age" measure="1" displayFolder="" measureGroup="Dim_demographics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Age]" caption="Count of Age" measure="1" displayFolder="" measureGroup="Dim_demographics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BusID]" caption="Sum of BusID" measure="1" displayFolder="" measureGroup="Facttable_ridership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Count of BusID]" caption="Count of BusID" measure="1" displayFolder="" measureGroup="Facttable_ridership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NumberOfRiders]" caption="Sum of NumberOfRiders" measure="1" displayFolder="" measureGroup="Facttable_ridership" count="0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Average of NumberOfRiders]" caption="Average of NumberOfRiders" measure="1" displayFolder="" measureGroup="Facttable_ridership" count="0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Year]" caption="Sum of Year" measure="1" displayFolder="" measureGroup="Dim_DateTabl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Total Transaction]" caption="Total Transaction" measure="1" displayFolder="" measureGroup="Calculations" count="0"/>
    <cacheHierarchy uniqueName="[Measures].[Average Age]" caption="Average Age" measure="1" displayFolder="" measureGroup="Calculations" count="0"/>
    <cacheHierarchy uniqueName="[Measures].[Total Riders(Passengers)]" caption="Total Riders(Passengers)" measure="1" displayFolder="" measureGroup="Calculations" count="0" oneField="1">
      <fieldsUsage count="1">
        <fieldUsage x="3"/>
      </fieldsUsage>
    </cacheHierarchy>
    <cacheHierarchy uniqueName="[Measures].[Avg Riders Per Trip]" caption="Avg Riders Per Trip" measure="1" displayFolder="" measureGroup="Calculations" count="0"/>
    <cacheHierarchy uniqueName="[Measures].[Total Buses]" caption="Total Buses" measure="1" displayFolder="" measureGroup="Calculations" count="0"/>
    <cacheHierarchy uniqueName="[Measures].[__XL_Count Dim_buses]" caption="__XL_Count Dim_buses" measure="1" displayFolder="" measureGroup="Dim_buses" count="0" hidden="1"/>
    <cacheHierarchy uniqueName="[Measures].[__XL_Count Dim_demographics]" caption="__XL_Count Dim_demographics" measure="1" displayFolder="" measureGroup="Dim_demographics" count="0" hidden="1"/>
    <cacheHierarchy uniqueName="[Measures].[__XL_Count Dim_routes]" caption="__XL_Count Dim_routes" measure="1" displayFolder="" measureGroup="Dim_routes" count="0" hidden="1"/>
    <cacheHierarchy uniqueName="[Measures].[__XL_Count Facttable_ridership]" caption="__XL_Count Facttable_ridership" measure="1" displayFolder="" measureGroup="Facttable_ridership" count="0" hidden="1"/>
    <cacheHierarchy uniqueName="[Measures].[__XL_Count Dim_DateTable]" caption="__XL_Count Dim_DateTable" measure="1" displayFolder="" measureGroup="Dim_DateTable" count="0" hidden="1"/>
    <cacheHierarchy uniqueName="[Measures].[__XL_Count Calculations]" caption="__XL_Count Calculations" measure="1" displayFolder="" measureGroup="Calculations" count="0" hidden="1"/>
    <cacheHierarchy uniqueName="[Measures].[__No measures defined]" caption="__No measures defined" measure="1" displayFolder="" count="0" hidden="1"/>
  </cacheHierarchies>
  <kpis count="0"/>
  <dimensions count="7">
    <dimension name="Calculations" uniqueName="[Calculations]" caption="Calculations"/>
    <dimension name="Dim_buses" uniqueName="[Dim_buses]" caption="Dim_buses"/>
    <dimension name="Dim_DateTable" uniqueName="[Dim_DateTable]" caption="Dim_DateTable"/>
    <dimension name="Dim_demographics" uniqueName="[Dim_demographics]" caption="Dim_demographics"/>
    <dimension name="Dim_routes" uniqueName="[Dim_routes]" caption="Dim_routes"/>
    <dimension name="Facttable_ridership" uniqueName="[Facttable_ridership]" caption="Facttable_ridership"/>
    <dimension measure="1" name="Measures" uniqueName="[Measures]" caption="Measures"/>
  </dimensions>
  <measureGroups count="6">
    <measureGroup name="Calculations" caption="Calculations"/>
    <measureGroup name="Dim_buses" caption="Dim_buses"/>
    <measureGroup name="Dim_DateTable" caption="Dim_DateTable"/>
    <measureGroup name="Dim_demographics" caption="Dim_demographics"/>
    <measureGroup name="Dim_routes" caption="Dim_routes"/>
    <measureGroup name="Facttable_ridership" caption="Facttable_ridership"/>
  </measureGroups>
  <maps count="11">
    <map measureGroup="0" dimension="0"/>
    <map measureGroup="1" dimension="1"/>
    <map measureGroup="1" dimension="4"/>
    <map measureGroup="2" dimension="2"/>
    <map measureGroup="3" dimension="3"/>
    <map measureGroup="4" dimension="4"/>
    <map measureGroup="5" dimension="1"/>
    <map measureGroup="5" dimension="2"/>
    <map measureGroup="5" dimension="3"/>
    <map measureGroup="5" dimension="4"/>
    <map measureGroup="5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632B18-180E-4FFC-B783-D08B32F3C3A5}" name="PivotTable9" cacheId="0" applyNumberFormats="0" applyBorderFormats="0" applyFontFormats="0" applyPatternFormats="0" applyAlignmentFormats="0" applyWidthHeightFormats="1" dataCaption="Values" tag="1359d22b-9058-415d-84ef-cdf419c08e63" updatedVersion="8" minRefreshableVersion="3" useAutoFormatting="1" rowGrandTotals="0" colGrandTotals="0" itemPrintTitles="1" createdVersion="8" indent="0" compact="0" compactData="0" multipleFieldFilters="0" chartFormat="12">
  <location ref="AE8:AF15" firstHeaderRow="1" firstDataRow="1" firstDataCol="1"/>
  <pivotFields count="5">
    <pivotField dataField="1" compact="0" outline="0" subtotalTop="0" showAll="0" defaultSubtotal="0"/>
    <pivotField compact="0" allDrilled="1" outline="0" subtotalTop="0" showAll="0" measureFilter="1" dataSourceSort="1" defaultSubtotal="0" defaultAttributeDrillState="1">
      <items count="1">
        <item x="0"/>
      </items>
    </pivotField>
    <pivotField compact="0" allDrilled="1" outline="0" subtotalTop="0" showAll="0" sortType="ascending" defaultSubtotal="0" defaultAttributeDrillState="1">
      <items count="6">
        <item x="0"/>
        <item x="1"/>
        <item x="2"/>
        <item x="3"/>
        <item x="4"/>
        <item x="5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allDrilled="1" outline="0" subtotalTop="0" showAll="0" measureFilter="1" dataSourceSort="1" defaultSubtotal="0" defaultAttributeDrillState="1">
      <items count="1">
        <item x="0"/>
      </items>
    </pivotField>
    <pivotField axis="axisRow" compact="0" allDrilled="1" outline="0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Items count="1">
    <i/>
  </colItems>
  <dataFields count="1">
    <dataField fld="0" subtotal="count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ount of Age"/>
    <pivotHierarchy dragToData="1"/>
    <pivotHierarchy dragToData="1" caption="Count of BusID"/>
    <pivotHierarchy dragToData="1"/>
    <pivotHierarchy dragToData="1" caption="Average of NumberOfRiders2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2">
    <filter fld="1" type="count" id="1" iMeasureHier="47">
      <autoFilter ref="A1">
        <filterColumn colId="0">
          <top10 val="1" filterVal="1"/>
        </filterColumn>
      </autoFilter>
    </filter>
    <filter fld="3" type="count" id="3" iMeasureHier="47">
      <autoFilter ref="A1">
        <filterColumn colId="0">
          <top10 top="0" val="1" filterVal="1"/>
        </filterColumn>
      </autoFilter>
    </filter>
  </filters>
  <rowHierarchiesUsage count="1">
    <rowHierarchyUsage hierarchyUsage="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demographics]"/>
        <x15:activeTabTopLevelEntity name="[Facttable_ridership]"/>
        <x15:activeTabTopLevelEntity name="[Calculations]"/>
        <x15:activeTabTopLevelEntity name="[Dim_buses]"/>
        <x15:activeTabTopLevelEntity name="[Dim_routes]"/>
        <x15:activeTabTopLevelEntity name="[Dim_DateTabl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BBA5BC-DC19-499F-98CC-63E263AE4EA8}" name="PivotTable12" cacheId="11" applyNumberFormats="0" applyBorderFormats="0" applyFontFormats="0" applyPatternFormats="0" applyAlignmentFormats="0" applyWidthHeightFormats="1" dataCaption="Values" tag="4dc5e8c2-a7c1-42ed-acfb-580bdb144273" updatedVersion="8" minRefreshableVersion="3" useAutoFormatting="1" rowGrandTotals="0" colGrandTotals="0" itemPrintTitles="1" createdVersion="8" indent="0" compact="0" compactData="0" multipleFieldFilters="0" chartFormat="16">
  <location ref="BF7:BG9" firstHeaderRow="1" firstDataRow="1" firstDataCol="1"/>
  <pivotFields count="4">
    <pivotField compact="0" allDrilled="1" outline="0" subtotalTop="0" showAll="0" measureFilter="1" dataSourceSort="1" defaultSubtotal="0" defaultAttributeDrillState="1">
      <items count="1">
        <item x="0"/>
      </items>
    </pivotField>
    <pivotField compact="0" allDrilled="1" outline="0" subtotalTop="0" showAll="0" measureFilter="1" dataSourceSort="1" defaultSubtotal="0" defaultAttributeDrillState="1">
      <items count="1">
        <item x="0"/>
      </items>
    </pivotField>
    <pivotField axis="axisRow" compact="0" allDrilled="1" outline="0" subtotalTop="0" showAll="0" dataSourceSort="1" defaultSubtotal="0" defaultAttributeDrillState="1">
      <items count="2">
        <item x="0"/>
        <item x="1"/>
      </items>
    </pivotField>
    <pivotField dataField="1" compact="0" outline="0" subtotalTop="0" showAll="0" defaultSubtotal="0"/>
  </pivotFields>
  <rowFields count="1">
    <field x="2"/>
  </rowFields>
  <rowItems count="2">
    <i>
      <x/>
    </i>
    <i>
      <x v="1"/>
    </i>
  </rowItems>
  <colItems count="1">
    <i/>
  </colItems>
  <dataFields count="1">
    <dataField fld="3" subtotal="count" showDataAs="percentOfTotal" baseField="2" baseItem="0" numFmtId="164"/>
  </dataFields>
  <pivotHierarchies count="5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ount of Age"/>
    <pivotHierarchy dragToData="1"/>
    <pivotHierarchy dragToData="1" caption="Count of BusID"/>
    <pivotHierarchy dragToData="1"/>
    <pivotHierarchy dragToData="1" caption="Average of NumberOfRiders2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2">
    <filter fld="0" type="count" id="1" iMeasureHier="47">
      <autoFilter ref="A1">
        <filterColumn colId="0">
          <top10 val="1" filterVal="1"/>
        </filterColumn>
      </autoFilter>
    </filter>
    <filter fld="1" type="count" id="3" iMeasureHier="47">
      <autoFilter ref="A1">
        <filterColumn colId="0">
          <top10 top="0" val="1" filterVal="1"/>
        </filterColumn>
      </autoFilter>
    </filter>
  </filters>
  <rowHierarchiesUsage count="1">
    <rowHierarchyUsage hierarchyUsage="2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demographics]"/>
        <x15:activeTabTopLevelEntity name="[Facttable_ridership]"/>
        <x15:activeTabTopLevelEntity name="[Calculations]"/>
        <x15:activeTabTopLevelEntity name="[Dim_buses]"/>
        <x15:activeTabTopLevelEntity name="[Dim_routes]"/>
        <x15:activeTabTopLevelEntity name="[Dim_DateTabl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C69F5B-1FA9-41F5-9E70-0FE56803D2CB}" name="PivotTable11" cacheId="10" applyNumberFormats="0" applyBorderFormats="0" applyFontFormats="0" applyPatternFormats="0" applyAlignmentFormats="0" applyWidthHeightFormats="1" dataCaption="Values" tag="03fe6061-9cee-4d3d-a969-c05e2c72e6b9" updatedVersion="8" minRefreshableVersion="3" useAutoFormatting="1" rowGrandTotals="0" colGrandTotals="0" itemPrintTitles="1" createdVersion="8" indent="0" compact="0" compactData="0" multipleFieldFilters="0" chartFormat="16">
  <location ref="AZ7:BA10" firstHeaderRow="1" firstDataRow="1" firstDataCol="1"/>
  <pivotFields count="4">
    <pivotField compact="0" allDrilled="1" outline="0" subtotalTop="0" showAll="0" measureFilter="1" dataSourceSort="1" defaultSubtotal="0" defaultAttributeDrillState="1">
      <items count="1">
        <item x="0"/>
      </items>
    </pivotField>
    <pivotField compact="0" allDrilled="1" outline="0" subtotalTop="0" showAll="0" measureFilter="1" dataSourceSort="1" defaultSubtotal="0" defaultAttributeDrillState="1">
      <items count="1">
        <item x="0"/>
      </items>
    </pivotField>
    <pivotField axis="axisRow" compact="0" allDrilled="1" outline="0" subtotalTop="0" showAll="0" dataSourceSort="1" defaultSubtotal="0" defaultAttributeDrillState="1">
      <items count="3">
        <item x="0"/>
        <item x="1"/>
        <item x="2"/>
      </items>
    </pivotField>
    <pivotField dataField="1" compact="0" outline="0" subtotalTop="0" showAll="0" defaultSubtotal="0"/>
  </pivotFields>
  <rowFields count="1">
    <field x="2"/>
  </rowFields>
  <rowItems count="3">
    <i>
      <x/>
    </i>
    <i>
      <x v="1"/>
    </i>
    <i>
      <x v="2"/>
    </i>
  </rowItems>
  <colItems count="1">
    <i/>
  </colItems>
  <dataFields count="1">
    <dataField fld="3" subtotal="count" baseField="0" baseItem="0"/>
  </dataFields>
  <pivotHierarchies count="5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ount of Age"/>
    <pivotHierarchy dragToData="1"/>
    <pivotHierarchy dragToData="1" caption="Count of BusID"/>
    <pivotHierarchy dragToData="1"/>
    <pivotHierarchy dragToData="1" caption="Average of NumberOfRiders2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2">
    <filter fld="0" type="count" id="1" iMeasureHier="47">
      <autoFilter ref="A1">
        <filterColumn colId="0">
          <top10 val="1" filterVal="1"/>
        </filterColumn>
      </autoFilter>
    </filter>
    <filter fld="1" type="count" id="3" iMeasureHier="47">
      <autoFilter ref="A1">
        <filterColumn colId="0">
          <top10 top="0" val="1" filterVal="1"/>
        </filterColumn>
      </autoFilter>
    </filter>
  </filters>
  <rowHierarchiesUsage count="1">
    <rowHierarchyUsage hierarchyUsage="3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demographics]"/>
        <x15:activeTabTopLevelEntity name="[Facttable_ridership]"/>
        <x15:activeTabTopLevelEntity name="[Calculations]"/>
        <x15:activeTabTopLevelEntity name="[Dim_buses]"/>
        <x15:activeTabTopLevelEntity name="[Dim_routes]"/>
        <x15:activeTabTopLevelEntity name="[Dim_DateTabl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A52A87-9492-49ED-ABAF-D9D06E4EF35E}" name="PivotTable6" cacheId="8" applyNumberFormats="0" applyBorderFormats="0" applyFontFormats="0" applyPatternFormats="0" applyAlignmentFormats="0" applyWidthHeightFormats="1" dataCaption="Values" tag="5eb3d701-cb46-4384-a87d-812deb6cd412" updatedVersion="8" minRefreshableVersion="3" useAutoFormatting="1" rowGrandTotals="0" colGrandTotals="0" itemPrintTitles="1" createdVersion="8" indent="0" compact="0" compactData="0" multipleFieldFilters="0" chartFormat="5">
  <location ref="L16:M17" firstHeaderRow="1" firstDataRow="1" firstDataCol="1"/>
  <pivotFields count="4">
    <pivotField dataField="1" compact="0" outline="0" subtotalTop="0" showAll="0" defaultSubtotal="0"/>
    <pivotField compact="0" allDrilled="1" outline="0" subtotalTop="0" showAll="0" measureFilter="1" dataSourceSort="1" defaultSubtotal="0" defaultAttributeDrillState="1">
      <items count="1">
        <item x="0"/>
      </items>
    </pivotField>
    <pivotField compact="0" allDrilled="1" outline="0" subtotalTop="0" showAll="0" sortType="ascending" defaultSubtotal="0" defaultAttributeDrillState="1">
      <items count="6">
        <item x="0"/>
        <item x="1"/>
        <item x="2"/>
        <item x="3"/>
        <item x="4"/>
        <item x="5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allDrilled="1" outline="0" subtotalTop="0" showAll="0" measureFilter="1" dataSourceSort="1" defaultSubtotal="0" defaultAttributeDrillState="1">
      <items count="1">
        <item x="0"/>
      </items>
    </pivotField>
  </pivotFields>
  <rowFields count="1">
    <field x="3"/>
  </rowFields>
  <rowItems count="1">
    <i>
      <x/>
    </i>
  </rowItems>
  <colItems count="1">
    <i/>
  </colItems>
  <dataFields count="1">
    <dataField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ount of Age"/>
    <pivotHierarchy dragToData="1"/>
    <pivotHierarchy dragToData="1" caption="Count of BusID"/>
    <pivotHierarchy dragToData="1"/>
    <pivotHierarchy dragToData="1" caption="Average of NumberOfRiders2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2">
    <filter fld="3" type="count" id="3" iMeasureHier="47">
      <autoFilter ref="A1">
        <filterColumn colId="0">
          <top10 top="0" val="1" filterVal="1"/>
        </filterColumn>
      </autoFilter>
    </filter>
    <filter fld="1" type="count" id="1" iMeasureHier="47">
      <autoFilter ref="A1">
        <filterColumn colId="0">
          <top10 val="1" filterVal="1"/>
        </filterColumn>
      </autoFilter>
    </filter>
  </filters>
  <rowHierarchiesUsage count="1">
    <rowHierarchyUsage hierarchyUsage="2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demographics]"/>
        <x15:activeTabTopLevelEntity name="[Facttable_ridership]"/>
        <x15:activeTabTopLevelEntity name="[Calculations]"/>
        <x15:activeTabTopLevelEntity name="[Dim_buses]"/>
        <x15:activeTabTopLevelEntity name="[Dim_rout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7A6C36-EEF7-4BF3-87CA-693AE9B46715}" name="PivotTable3" cacheId="5" applyNumberFormats="0" applyBorderFormats="0" applyFontFormats="0" applyPatternFormats="0" applyAlignmentFormats="0" applyWidthHeightFormats="1" dataCaption="Values" tag="a1f695f1-61c4-4d1e-8267-0f2e51931007" updatedVersion="8" minRefreshableVersion="3" useAutoFormatting="1" rowGrandTotals="0" colGrandTotals="0" itemPrintTitles="1" createdVersion="8" indent="0" compact="0" compactData="0" multipleFieldFilters="0">
  <location ref="D19:E20" firstHeaderRow="1" firstDataRow="1" firstDataCol="1"/>
  <pivotFields count="2">
    <pivotField dataField="1" compact="0" outline="0" subtotalTop="0" showAll="0" defaultSubtotal="0"/>
    <pivotField axis="axisRow" compact="0" allDrilled="1" outline="0" subtotalTop="0" showAll="0" measureFilter="1" dataSourceSort="1" defaultSubtotal="0" defaultAttributeDrillState="1">
      <items count="1">
        <item x="0"/>
      </items>
    </pivotField>
  </pivotFields>
  <rowFields count="1">
    <field x="1"/>
  </rowFields>
  <rowItems count="1">
    <i>
      <x/>
    </i>
  </rowItems>
  <colItems count="1">
    <i/>
  </colItems>
  <dataFields count="1">
    <dataField fld="0" subtotal="count" baseField="0" baseItem="0"/>
  </dataFields>
  <pivotHierarchies count="5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ount of Age"/>
    <pivotHierarchy dragToData="1"/>
    <pivotHierarchy dragToData="1" caption="Count of BusID"/>
    <pivotHierarchy dragToData="1"/>
    <pivotHierarchy dragToData="1" caption="Average of NumberOfRiders2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1" type="count" id="2" iMeasureHier="47">
      <autoFilter ref="A1">
        <filterColumn colId="0">
          <top10 top="0" val="1" filterVal="1"/>
        </filterColumn>
      </autoFilter>
    </filter>
  </filters>
  <rowHierarchiesUsage count="1">
    <rowHierarchyUsage hierarchyUsage="1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demographics]"/>
        <x15:activeTabTopLevelEntity name="[Facttable_ridership]"/>
        <x15:activeTabTopLevelEntity name="[Calculations]"/>
        <x15:activeTabTopLevelEntity name="[Dim_buses]"/>
        <x15:activeTabTopLevelEntity name="[Dim_rout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B84A92-EF3B-45FA-B98E-90A3B5AB707D}" name="PivotTable8" cacheId="1" applyNumberFormats="0" applyBorderFormats="0" applyFontFormats="0" applyPatternFormats="0" applyAlignmentFormats="0" applyWidthHeightFormats="1" dataCaption="Values" tag="ea179bc2-ff2f-487e-a39f-0f0b9ee7b0dd" updatedVersion="8" minRefreshableVersion="3" useAutoFormatting="1" rowGrandTotals="0" colGrandTotals="0" itemPrintTitles="1" createdVersion="8" indent="0" compact="0" compactData="0" multipleFieldFilters="0" chartFormat="5">
  <location ref="R13:S15" firstHeaderRow="1" firstDataRow="1" firstDataCol="1"/>
  <pivotFields count="5">
    <pivotField dataField="1" compact="0" outline="0" subtotalTop="0" showAll="0" defaultSubtotal="0"/>
    <pivotField compact="0" allDrilled="1" outline="0" subtotalTop="0" showAll="0" measureFilter="1" dataSourceSort="1" defaultSubtotal="0" defaultAttributeDrillState="1">
      <items count="1">
        <item x="0"/>
      </items>
    </pivotField>
    <pivotField compact="0" allDrilled="1" outline="0" subtotalTop="0" showAll="0" sortType="ascending" defaultSubtotal="0" defaultAttributeDrillState="1">
      <items count="6">
        <item x="0"/>
        <item x="1"/>
        <item x="2"/>
        <item x="3"/>
        <item x="4"/>
        <item x="5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allDrilled="1" outline="0" subtotalTop="0" showAll="0" measureFilter="1" dataSourceSort="1" defaultSubtotal="0" defaultAttributeDrillState="1">
      <items count="1">
        <item x="0"/>
      </items>
    </pivotField>
    <pivotField axis="axisRow" compact="0" allDrilled="1" outline="0" subtotalTop="0" showAll="0" dataSourceSort="1" defaultSubtotal="0" defaultAttributeDrillState="1">
      <items count="2">
        <item x="0"/>
        <item x="1"/>
      </items>
    </pivotField>
  </pivotFields>
  <rowFields count="1">
    <field x="4"/>
  </rowFields>
  <rowItems count="2">
    <i>
      <x/>
    </i>
    <i>
      <x v="1"/>
    </i>
  </rowItems>
  <colItems count="1">
    <i/>
  </colItems>
  <dataFields count="1">
    <dataField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ount of Age"/>
    <pivotHierarchy dragToData="1"/>
    <pivotHierarchy dragToData="1" caption="Count of BusID"/>
    <pivotHierarchy dragToData="1"/>
    <pivotHierarchy dragToData="1" caption="Average of NumberOfRiders2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2">
    <filter fld="1" type="count" id="1" iMeasureHier="47">
      <autoFilter ref="A1">
        <filterColumn colId="0">
          <top10 val="1" filterVal="1"/>
        </filterColumn>
      </autoFilter>
    </filter>
    <filter fld="3" type="count" id="3" iMeasureHier="47">
      <autoFilter ref="A1">
        <filterColumn colId="0">
          <top10 top="0" val="1" filterVal="1"/>
        </filterColumn>
      </autoFilter>
    </filter>
  </filters>
  <rowHierarchiesUsage count="1">
    <rowHierarchyUsage hierarchyUsage="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relNeededHidden="1">
        <x15:activeTabTopLevelEntity name="[Dim_demographics]"/>
        <x15:activeTabTopLevelEntity name="[Facttable_ridership]"/>
        <x15:activeTabTopLevelEntity name="[Calculations]"/>
        <x15:activeTabTopLevelEntity name="[Dim_buses]"/>
        <x15:activeTabTopLevelEntity name="[Dim_routes]"/>
        <x15:activeTabTopLevelEntity name="[Dim_DateTabl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F4C3CF-CC62-48DF-B8AB-2BC71DF21823}" name="PivotTable7" cacheId="2" applyNumberFormats="0" applyBorderFormats="0" applyFontFormats="0" applyPatternFormats="0" applyAlignmentFormats="0" applyWidthHeightFormats="1" dataCaption="Values" tag="a9fbba85-0559-4cb4-9ff9-9bd560b82b6d" updatedVersion="8" minRefreshableVersion="3" useAutoFormatting="1" rowGrandTotals="0" colGrandTotals="0" itemPrintTitles="1" createdVersion="8" indent="0" compact="0" compactData="0" multipleFieldFilters="0" chartFormat="10">
  <location ref="R8:S10" firstHeaderRow="1" firstDataRow="1" firstDataCol="1"/>
  <pivotFields count="5">
    <pivotField dataField="1" compact="0" outline="0" subtotalTop="0" showAll="0" defaultSubtotal="0"/>
    <pivotField compact="0" allDrilled="1" outline="0" subtotalTop="0" showAll="0" measureFilter="1" dataSourceSort="1" defaultSubtotal="0" defaultAttributeDrillState="1">
      <items count="1">
        <item x="0"/>
      </items>
    </pivotField>
    <pivotField compact="0" allDrilled="1" outline="0" subtotalTop="0" showAll="0" sortType="ascending" defaultSubtotal="0" defaultAttributeDrillState="1">
      <items count="6">
        <item x="0"/>
        <item x="1"/>
        <item x="2"/>
        <item x="3"/>
        <item x="4"/>
        <item x="5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allDrilled="1" outline="0" subtotalTop="0" showAll="0" measureFilter="1" dataSourceSort="1" defaultSubtotal="0" defaultAttributeDrillState="1">
      <items count="1">
        <item x="0"/>
      </items>
    </pivotField>
    <pivotField axis="axisRow" compact="0" allDrilled="1" outline="0" subtotalTop="0" showAll="0" dataSourceSort="1" defaultSubtotal="0" defaultAttributeDrillState="1">
      <items count="2">
        <item x="0"/>
        <item x="1"/>
      </items>
    </pivotField>
  </pivotFields>
  <rowFields count="1">
    <field x="4"/>
  </rowFields>
  <rowItems count="2">
    <i>
      <x/>
    </i>
    <i>
      <x v="1"/>
    </i>
  </rowItems>
  <colItems count="1">
    <i/>
  </colItems>
  <dataFields count="1">
    <dataField fld="0" subtotal="count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ount of Age"/>
    <pivotHierarchy dragToData="1"/>
    <pivotHierarchy dragToData="1" caption="Count of BusID"/>
    <pivotHierarchy dragToData="1"/>
    <pivotHierarchy dragToData="1" caption="Average of NumberOfRiders2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2">
    <filter fld="1" type="count" id="1" iMeasureHier="47">
      <autoFilter ref="A1">
        <filterColumn colId="0">
          <top10 val="1" filterVal="1"/>
        </filterColumn>
      </autoFilter>
    </filter>
    <filter fld="3" type="count" id="3" iMeasureHier="47">
      <autoFilter ref="A1">
        <filterColumn colId="0">
          <top10 top="0" val="1" filterVal="1"/>
        </filterColumn>
      </autoFilter>
    </filter>
  </filters>
  <rowHierarchiesUsage count="1">
    <rowHierarchyUsage hierarchyUsage="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demographics]"/>
        <x15:activeTabTopLevelEntity name="[Facttable_ridership]"/>
        <x15:activeTabTopLevelEntity name="[Calculations]"/>
        <x15:activeTabTopLevelEntity name="[Dim_buses]"/>
        <x15:activeTabTopLevelEntity name="[Dim_routes]"/>
        <x15:activeTabTopLevelEntity name="[Dim_DateTabl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D3BE7D-A7AA-4A1C-BA60-DFE4CE5A2E74}" name="PivotTable4" cacheId="6" applyNumberFormats="0" applyBorderFormats="0" applyFontFormats="0" applyPatternFormats="0" applyAlignmentFormats="0" applyWidthHeightFormats="1" dataCaption="Values" tag="9e53c9f1-6639-426d-b828-b9d83dc38900" updatedVersion="8" minRefreshableVersion="3" useAutoFormatting="1" rowGrandTotals="0" colGrandTotals="0" itemPrintTitles="1" createdVersion="8" indent="0" compact="0" compactData="0" multipleFieldFilters="0" chartFormat="6">
  <location ref="I5:J11" firstHeaderRow="1" firstDataRow="1" firstDataCol="1"/>
  <pivotFields count="3">
    <pivotField dataField="1" compact="0" outline="0" subtotalTop="0" showAll="0" defaultSubtotal="0"/>
    <pivotField compact="0" allDrilled="1" outline="0" subtotalTop="0" showAll="0" measureFilter="1" dataSourceSort="1" defaultSubtotal="0" defaultAttributeDrillState="1">
      <items count="1">
        <item x="0"/>
      </items>
    </pivotField>
    <pivotField axis="axisRow" compact="0" allDrilled="1" outline="0" subtotalTop="0" showAll="0" sortType="ascending" defaultSubtotal="0" defaultAttributeDrillState="1">
      <items count="6">
        <item x="0"/>
        <item x="1"/>
        <item x="2"/>
        <item x="3"/>
        <item x="4"/>
        <item x="5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2"/>
  </rowFields>
  <rowItems count="6">
    <i>
      <x v="1"/>
    </i>
    <i>
      <x v="3"/>
    </i>
    <i>
      <x v="2"/>
    </i>
    <i>
      <x v="5"/>
    </i>
    <i>
      <x/>
    </i>
    <i>
      <x v="4"/>
    </i>
  </rowItems>
  <colItems count="1">
    <i/>
  </colItems>
  <dataFields count="1">
    <dataField fld="0" subtotal="count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ount of Age"/>
    <pivotHierarchy dragToData="1"/>
    <pivotHierarchy dragToData="1" caption="Count of BusID"/>
    <pivotHierarchy dragToData="1"/>
    <pivotHierarchy dragToData="1" caption="Average of NumberOfRiders2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1" type="count" id="1" iMeasureHier="47">
      <autoFilter ref="A1">
        <filterColumn colId="0">
          <top10 val="1" filterVal="1"/>
        </filterColumn>
      </autoFilter>
    </filter>
  </filters>
  <rowHierarchiesUsage count="1">
    <rowHierarchyUsage hierarchyUsage="2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demographics]"/>
        <x15:activeTabTopLevelEntity name="[Facttable_ridership]"/>
        <x15:activeTabTopLevelEntity name="[Calculations]"/>
        <x15:activeTabTopLevelEntity name="[Dim_buses]"/>
        <x15:activeTabTopLevelEntity name="[Dim_rout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CDE1A7-251A-4412-8CD3-3D29ECEC8164}" name="PivotTable1" cacheId="4" applyNumberFormats="0" applyBorderFormats="0" applyFontFormats="0" applyPatternFormats="0" applyAlignmentFormats="0" applyWidthHeightFormats="1" dataCaption="Values" tag="d4fc8327-6680-4384-bfd8-7444d60c3622" updatedVersion="8" minRefreshableVersion="3" useAutoFormatting="1" rowGrandTotals="0" colGrandTotals="0" itemPrintTitles="1" createdVersion="8" indent="0" compact="0" compactData="0" multipleFieldFilters="0">
  <location ref="D13:E14" firstHeaderRow="1" firstDataRow="1" firstDataCol="1"/>
  <pivotFields count="2">
    <pivotField dataField="1" compact="0" outline="0" subtotalTop="0" showAll="0" defaultSubtotal="0"/>
    <pivotField axis="axisRow" compact="0" allDrilled="1" outline="0" subtotalTop="0" showAll="0" measureFilter="1" dataSourceSort="1" defaultSubtotal="0" defaultAttributeDrillState="1">
      <items count="1">
        <item x="0"/>
      </items>
    </pivotField>
  </pivotFields>
  <rowFields count="1">
    <field x="1"/>
  </rowFields>
  <rowItems count="1">
    <i>
      <x/>
    </i>
  </rowItems>
  <colItems count="1">
    <i/>
  </colItems>
  <dataFields count="1">
    <dataField fld="0" subtotal="count" baseField="0" baseItem="0"/>
  </dataFields>
  <pivotHierarchies count="5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ount of Age"/>
    <pivotHierarchy dragToData="1"/>
    <pivotHierarchy dragToData="1" caption="Count of BusID"/>
    <pivotHierarchy dragToData="1"/>
    <pivotHierarchy dragToData="1" caption="Average of NumberOfRiders2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1" type="count" id="1" iMeasureHier="47">
      <autoFilter ref="A1">
        <filterColumn colId="0">
          <top10 val="1" filterVal="1"/>
        </filterColumn>
      </autoFilter>
    </filter>
  </filters>
  <rowHierarchiesUsage count="1">
    <rowHierarchyUsage hierarchyUsage="1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demographics]"/>
        <x15:activeTabTopLevelEntity name="[Facttable_ridership]"/>
        <x15:activeTabTopLevelEntity name="[Calculations]"/>
        <x15:activeTabTopLevelEntity name="[Dim_buses]"/>
        <x15:activeTabTopLevelEntity name="[Dim_rout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C22F1D-1ECC-461F-8286-69E4E577EC18}" name="PivotTable5" cacheId="7" applyNumberFormats="0" applyBorderFormats="0" applyFontFormats="0" applyPatternFormats="0" applyAlignmentFormats="0" applyWidthHeightFormats="1" dataCaption="Values" tag="47ce33e3-9abd-4445-8aaa-fcaa026368b3" updatedVersion="8" minRefreshableVersion="3" useAutoFormatting="1" rowGrandTotals="0" colGrandTotals="0" itemPrintTitles="1" createdVersion="8" indent="0" compact="0" compactData="0" multipleFieldFilters="0" chartFormat="5">
  <location ref="I16:J17" firstHeaderRow="1" firstDataRow="1" firstDataCol="1"/>
  <pivotFields count="4">
    <pivotField dataField="1" compact="0" outline="0" subtotalTop="0" showAll="0" defaultSubtotal="0"/>
    <pivotField compact="0" allDrilled="1" outline="0" subtotalTop="0" showAll="0" measureFilter="1" dataSourceSort="1" defaultSubtotal="0" defaultAttributeDrillState="1">
      <items count="1">
        <item x="0"/>
      </items>
    </pivotField>
    <pivotField compact="0" allDrilled="1" outline="0" subtotalTop="0" showAll="0" sortType="ascending" defaultSubtotal="0" defaultAttributeDrillState="1">
      <items count="6">
        <item x="0"/>
        <item x="1"/>
        <item x="2"/>
        <item x="3"/>
        <item x="4"/>
        <item x="5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allDrilled="1" outline="0" subtotalTop="0" showAll="0" measureFilter="1" dataSourceSort="1" defaultSubtotal="0" defaultAttributeDrillState="1">
      <items count="1">
        <item x="0"/>
      </items>
    </pivotField>
  </pivotFields>
  <rowFields count="1">
    <field x="3"/>
  </rowFields>
  <rowItems count="1">
    <i>
      <x/>
    </i>
  </rowItems>
  <colItems count="1">
    <i/>
  </colItems>
  <dataFields count="1">
    <dataField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ount of Age"/>
    <pivotHierarchy dragToData="1"/>
    <pivotHierarchy dragToData="1" caption="Count of BusID"/>
    <pivotHierarchy dragToData="1"/>
    <pivotHierarchy dragToData="1" caption="Average of NumberOfRiders2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2">
    <filter fld="1" type="count" id="1" iMeasureHier="47">
      <autoFilter ref="A1">
        <filterColumn colId="0">
          <top10 val="1" filterVal="1"/>
        </filterColumn>
      </autoFilter>
    </filter>
    <filter fld="3" type="count" id="2" iMeasureHier="47">
      <autoFilter ref="A1">
        <filterColumn colId="0">
          <top10 val="1" filterVal="1"/>
        </filterColumn>
      </autoFilter>
    </filter>
  </filters>
  <rowHierarchiesUsage count="1">
    <rowHierarchyUsage hierarchyUsage="2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demographics]"/>
        <x15:activeTabTopLevelEntity name="[Facttable_ridership]"/>
        <x15:activeTabTopLevelEntity name="[Calculations]"/>
        <x15:activeTabTopLevelEntity name="[Dim_buses]"/>
        <x15:activeTabTopLevelEntity name="[Dim_rout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3C6E08-92A5-48DC-A3BA-CDB4D1FED4BB}" name="PivotTable10" cacheId="9" applyNumberFormats="0" applyBorderFormats="0" applyFontFormats="0" applyPatternFormats="0" applyAlignmentFormats="0" applyWidthHeightFormats="1" dataCaption="Values" tag="40535ca7-3b15-4e57-8410-a7b7ddcf378e" updatedVersion="8" minRefreshableVersion="3" useAutoFormatting="1" rowGrandTotals="0" colGrandTotals="0" itemPrintTitles="1" createdVersion="8" indent="0" compact="0" compactData="0" multipleFieldFilters="0" chartFormat="16">
  <location ref="AU7:AV9" firstHeaderRow="1" firstDataRow="1" firstDataCol="1"/>
  <pivotFields count="5">
    <pivotField dataField="1" compact="0" outline="0" subtotalTop="0" showAll="0" defaultSubtotal="0"/>
    <pivotField compact="0" allDrilled="1" outline="0" subtotalTop="0" showAll="0" measureFilter="1" dataSourceSort="1" defaultSubtotal="0" defaultAttributeDrillState="1">
      <items count="1">
        <item x="0"/>
      </items>
    </pivotField>
    <pivotField compact="0" allDrilled="1" outline="0" subtotalTop="0" showAll="0" sortType="ascending" defaultSubtotal="0" defaultAttributeDrillState="1">
      <items count="6">
        <item x="0"/>
        <item x="1"/>
        <item x="2"/>
        <item x="3"/>
        <item x="4"/>
        <item x="5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allDrilled="1" outline="0" subtotalTop="0" showAll="0" measureFilter="1" dataSourceSort="1" defaultSubtotal="0" defaultAttributeDrillState="1">
      <items count="1">
        <item x="0"/>
      </items>
    </pivotField>
    <pivotField axis="axisRow" compact="0" allDrilled="1" outline="0" subtotalTop="0" showAll="0" dataSourceSort="1" defaultSubtotal="0" defaultAttributeDrillState="1">
      <items count="2">
        <item x="0"/>
        <item x="1"/>
      </items>
    </pivotField>
  </pivotFields>
  <rowFields count="1">
    <field x="4"/>
  </rowFields>
  <rowItems count="2">
    <i>
      <x/>
    </i>
    <i>
      <x v="1"/>
    </i>
  </rowItems>
  <colItems count="1">
    <i/>
  </colItems>
  <dataFields count="1">
    <dataField fld="0" subtotal="count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ount of Age"/>
    <pivotHierarchy dragToData="1"/>
    <pivotHierarchy dragToData="1" caption="Count of BusID"/>
    <pivotHierarchy dragToData="1"/>
    <pivotHierarchy dragToData="1" caption="Average of NumberOfRiders2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2">
    <filter fld="1" type="count" id="1" iMeasureHier="47">
      <autoFilter ref="A1">
        <filterColumn colId="0">
          <top10 val="1" filterVal="1"/>
        </filterColumn>
      </autoFilter>
    </filter>
    <filter fld="3" type="count" id="3" iMeasureHier="47">
      <autoFilter ref="A1">
        <filterColumn colId="0">
          <top10 top="0" val="1" filterVal="1"/>
        </filterColumn>
      </autoFilter>
    </filter>
  </filters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demographics]"/>
        <x15:activeTabTopLevelEntity name="[Facttable_ridership]"/>
        <x15:activeTabTopLevelEntity name="[Calculations]"/>
        <x15:activeTabTopLevelEntity name="[Dim_buses]"/>
        <x15:activeTabTopLevelEntity name="[Dim_routes]"/>
        <x15:activeTabTopLevelEntity name="[Dim_DateTabl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742ABE-037F-4131-B523-C866CC69B282}" name="PivotTable2" cacheId="3" applyNumberFormats="0" applyBorderFormats="0" applyFontFormats="0" applyPatternFormats="0" applyAlignmentFormats="0" applyWidthHeightFormats="1" dataCaption="Values" tag="0d3fbd5a-8650-4bd7-aa9d-b6853bc1c7ef" updatedVersion="8" minRefreshableVersion="3" useAutoFormatting="1" rowGrandTotals="0" colGrandTotals="0" itemPrintTitles="1" createdVersion="8" indent="0" compact="0" compactData="0" multipleFieldFilters="0">
  <location ref="D5:E6" firstHeaderRow="0" firstDataRow="1" firstDataCol="0"/>
  <pivotFields count="2">
    <pivotField dataField="1" compact="0" outline="0" subtotalTop="0" showAll="0" defaultSubtotal="0"/>
    <pivotField dataField="1" compact="0" outline="0" subtotalTop="0" showAll="0" defaultSubtotal="0"/>
  </pivotFields>
  <rowItems count="1">
    <i/>
  </rowItems>
  <colFields count="1">
    <field x="-2"/>
  </colFields>
  <colItems count="2">
    <i>
      <x/>
    </i>
    <i i="1">
      <x v="1"/>
    </i>
  </colItems>
  <dataFields count="2">
    <dataField fld="0" subtotal="count" baseField="0" baseItem="0"/>
    <dataField fld="1" subtotal="count" baseField="0" baseItem="0"/>
  </dataFields>
  <pivotHierarchies count="5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ount of Age"/>
    <pivotHierarchy dragToData="1"/>
    <pivotHierarchy dragToData="1" caption="Count of BusID"/>
    <pivotHierarchy dragToData="1"/>
    <pivotHierarchy dragToData="1" caption="Average of NumberOfRiders2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demographics]"/>
        <x15:activeTabTopLevelEntity name="[Facttable_ridership]"/>
        <x15:activeTabTopLevelEntity name="[Calculations]"/>
        <x15:activeTabTopLevelEntity name="[Dim_bus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D2CD6-CDB0-4C53-A0BB-CFA06489412F}">
  <dimension ref="D5:BH25"/>
  <sheetViews>
    <sheetView topLeftCell="AY1" workbookViewId="0">
      <selection activeCell="BH22" sqref="BH22"/>
    </sheetView>
  </sheetViews>
  <sheetFormatPr defaultRowHeight="14.5" x14ac:dyDescent="0.35"/>
  <cols>
    <col min="4" max="4" width="12.90625" bestFit="1" customWidth="1"/>
    <col min="5" max="5" width="21.6328125" bestFit="1" customWidth="1"/>
    <col min="6" max="6" width="16.1796875" bestFit="1" customWidth="1"/>
    <col min="7" max="7" width="8.26953125" style="4" customWidth="1"/>
    <col min="8" max="8" width="25" bestFit="1" customWidth="1"/>
    <col min="9" max="9" width="7.90625" bestFit="1" customWidth="1"/>
    <col min="10" max="10" width="21.6328125" bestFit="1" customWidth="1"/>
    <col min="11" max="11" width="17.453125" customWidth="1"/>
    <col min="12" max="12" width="7.90625" bestFit="1" customWidth="1"/>
    <col min="13" max="13" width="21.6328125" bestFit="1" customWidth="1"/>
    <col min="14" max="14" width="14.81640625" customWidth="1"/>
    <col min="15" max="15" width="8.90625" style="4" customWidth="1"/>
    <col min="16" max="16" width="10.7265625" bestFit="1" customWidth="1"/>
    <col min="18" max="18" width="6.81640625" bestFit="1" customWidth="1"/>
    <col min="19" max="19" width="21.6328125" bestFit="1" customWidth="1"/>
    <col min="20" max="20" width="8.90625" customWidth="1"/>
    <col min="27" max="27" width="8.7265625" style="4"/>
    <col min="31" max="31" width="11.54296875" bestFit="1" customWidth="1"/>
    <col min="32" max="32" width="21.6328125" bestFit="1" customWidth="1"/>
    <col min="34" max="34" width="9.26953125" bestFit="1" customWidth="1"/>
    <col min="35" max="35" width="21.6328125" bestFit="1" customWidth="1"/>
    <col min="36" max="36" width="7.36328125" bestFit="1" customWidth="1"/>
    <col min="37" max="37" width="12.54296875" bestFit="1" customWidth="1"/>
    <col min="44" max="44" width="8.7265625" style="4"/>
    <col min="47" max="47" width="13.6328125" bestFit="1" customWidth="1"/>
    <col min="48" max="48" width="21.6328125" bestFit="1" customWidth="1"/>
    <col min="50" max="50" width="8.7265625" style="4"/>
    <col min="52" max="52" width="23.08984375" bestFit="1" customWidth="1"/>
    <col min="53" max="53" width="10.26953125" bestFit="1" customWidth="1"/>
    <col min="54" max="54" width="12.453125" bestFit="1" customWidth="1"/>
    <col min="56" max="56" width="8.7265625" style="4"/>
    <col min="58" max="58" width="18.6328125" bestFit="1" customWidth="1"/>
    <col min="59" max="59" width="21.6328125" bestFit="1" customWidth="1"/>
    <col min="60" max="60" width="22.6328125" bestFit="1" customWidth="1"/>
  </cols>
  <sheetData>
    <row r="5" spans="4:60" x14ac:dyDescent="0.35">
      <c r="D5" t="s">
        <v>0</v>
      </c>
      <c r="E5" t="s">
        <v>1</v>
      </c>
      <c r="I5" s="1" t="s">
        <v>7</v>
      </c>
      <c r="J5" t="s">
        <v>0</v>
      </c>
    </row>
    <row r="6" spans="4:60" x14ac:dyDescent="0.35">
      <c r="D6" s="2">
        <v>6587</v>
      </c>
      <c r="E6" s="3">
        <v>32.935000000000002</v>
      </c>
      <c r="I6" t="s">
        <v>9</v>
      </c>
      <c r="J6" s="2">
        <v>884</v>
      </c>
    </row>
    <row r="7" spans="4:60" x14ac:dyDescent="0.35">
      <c r="I7" t="s">
        <v>11</v>
      </c>
      <c r="J7" s="2">
        <v>968</v>
      </c>
      <c r="S7" s="3"/>
      <c r="AU7" s="1" t="s">
        <v>34</v>
      </c>
      <c r="AV7" t="s">
        <v>0</v>
      </c>
      <c r="AZ7" s="1" t="s">
        <v>37</v>
      </c>
      <c r="BA7" t="s">
        <v>41</v>
      </c>
      <c r="BF7" s="1" t="s">
        <v>44</v>
      </c>
      <c r="BG7" t="s">
        <v>0</v>
      </c>
    </row>
    <row r="8" spans="4:60" x14ac:dyDescent="0.35">
      <c r="I8" t="s">
        <v>10</v>
      </c>
      <c r="J8" s="2">
        <v>973</v>
      </c>
      <c r="R8" s="1" t="s">
        <v>17</v>
      </c>
      <c r="S8" t="s">
        <v>0</v>
      </c>
      <c r="AE8" s="1" t="s">
        <v>23</v>
      </c>
      <c r="AF8" t="s">
        <v>0</v>
      </c>
      <c r="AH8" s="9" t="str">
        <f>AE8</f>
        <v>Day Name</v>
      </c>
      <c r="AI8" s="9" t="str">
        <f>AF8</f>
        <v>Total Riders(Passengers)</v>
      </c>
      <c r="AJ8" s="9" t="s">
        <v>31</v>
      </c>
      <c r="AK8" s="9" t="s">
        <v>32</v>
      </c>
      <c r="AU8" t="s">
        <v>36</v>
      </c>
      <c r="AV8" s="2">
        <v>933</v>
      </c>
      <c r="AZ8" t="s">
        <v>38</v>
      </c>
      <c r="BA8" s="2">
        <v>36</v>
      </c>
      <c r="BB8" t="str">
        <f>BA8 &amp; " Total Buses"</f>
        <v>36 Total Buses</v>
      </c>
      <c r="BF8" t="s">
        <v>45</v>
      </c>
      <c r="BG8" s="11">
        <v>0.35387885228480342</v>
      </c>
      <c r="BH8" s="7">
        <f>BG8 / SUM($BG$8:$BG$9)</f>
        <v>0.35387885228480342</v>
      </c>
    </row>
    <row r="9" spans="4:60" x14ac:dyDescent="0.35">
      <c r="I9" t="s">
        <v>13</v>
      </c>
      <c r="J9" s="2">
        <v>1147</v>
      </c>
      <c r="R9">
        <v>2023</v>
      </c>
      <c r="S9" s="2">
        <v>5654</v>
      </c>
      <c r="AE9" t="s">
        <v>27</v>
      </c>
      <c r="AF9" s="2">
        <v>1185</v>
      </c>
      <c r="AH9" t="str">
        <f t="shared" ref="AH9:AI15" si="0">AE9</f>
        <v>Sun</v>
      </c>
      <c r="AI9">
        <f t="shared" si="0"/>
        <v>1185</v>
      </c>
      <c r="AJ9">
        <f>AVERAGE($AI$9:$AI$15)</f>
        <v>941</v>
      </c>
      <c r="AK9">
        <f>IF(AI9 &gt; AJ9, AI9,"")</f>
        <v>1185</v>
      </c>
      <c r="AU9" t="s">
        <v>35</v>
      </c>
      <c r="AV9" s="2">
        <v>5654</v>
      </c>
      <c r="AZ9" t="s">
        <v>39</v>
      </c>
      <c r="BA9" s="2">
        <v>19</v>
      </c>
      <c r="BB9" t="str">
        <f t="shared" ref="BB9:BB10" si="1">BA9 &amp; " Total Buses"</f>
        <v>19 Total Buses</v>
      </c>
      <c r="BF9" t="s">
        <v>46</v>
      </c>
      <c r="BG9" s="11">
        <v>0.64612114771519658</v>
      </c>
      <c r="BH9" s="7">
        <f>BG9 / SUM($BG$8:$BG$9)</f>
        <v>0.64612114771519658</v>
      </c>
    </row>
    <row r="10" spans="4:60" x14ac:dyDescent="0.35">
      <c r="I10" t="s">
        <v>8</v>
      </c>
      <c r="J10" s="2">
        <v>1257</v>
      </c>
      <c r="R10">
        <v>2024</v>
      </c>
      <c r="S10" s="2">
        <v>933</v>
      </c>
      <c r="AE10" t="s">
        <v>25</v>
      </c>
      <c r="AF10" s="2">
        <v>1085</v>
      </c>
      <c r="AH10" t="str">
        <f t="shared" si="0"/>
        <v>Mon</v>
      </c>
      <c r="AI10">
        <f t="shared" si="0"/>
        <v>1085</v>
      </c>
      <c r="AJ10">
        <f t="shared" ref="AJ10:AJ15" si="2">AVERAGE($AI$9:$AI$15)</f>
        <v>941</v>
      </c>
      <c r="AK10">
        <f t="shared" ref="AK10:AK15" si="3">IF(AI10 &gt; AJ10, AI10,"")</f>
        <v>1085</v>
      </c>
      <c r="AZ10" t="s">
        <v>40</v>
      </c>
      <c r="BA10" s="2">
        <v>29</v>
      </c>
      <c r="BB10" t="str">
        <f t="shared" si="1"/>
        <v>29 Total Buses</v>
      </c>
    </row>
    <row r="11" spans="4:60" x14ac:dyDescent="0.35">
      <c r="I11" t="s">
        <v>12</v>
      </c>
      <c r="J11" s="2">
        <v>1358</v>
      </c>
      <c r="AE11" t="s">
        <v>29</v>
      </c>
      <c r="AF11" s="2">
        <v>983</v>
      </c>
      <c r="AH11" t="str">
        <f t="shared" si="0"/>
        <v>Tue</v>
      </c>
      <c r="AI11">
        <f t="shared" si="0"/>
        <v>983</v>
      </c>
      <c r="AJ11">
        <f t="shared" si="2"/>
        <v>941</v>
      </c>
      <c r="AK11">
        <f t="shared" si="3"/>
        <v>983</v>
      </c>
    </row>
    <row r="12" spans="4:60" x14ac:dyDescent="0.35">
      <c r="D12" t="s">
        <v>5</v>
      </c>
      <c r="I12" s="3"/>
      <c r="J12" s="3"/>
      <c r="AE12" t="s">
        <v>30</v>
      </c>
      <c r="AF12" s="2">
        <v>887</v>
      </c>
      <c r="AH12" t="str">
        <f t="shared" si="0"/>
        <v>Wed</v>
      </c>
      <c r="AI12">
        <f t="shared" si="0"/>
        <v>887</v>
      </c>
      <c r="AJ12">
        <f t="shared" si="2"/>
        <v>941</v>
      </c>
      <c r="AK12" t="str">
        <f t="shared" si="3"/>
        <v/>
      </c>
    </row>
    <row r="13" spans="4:60" x14ac:dyDescent="0.35">
      <c r="D13" s="1" t="s">
        <v>2</v>
      </c>
      <c r="E13" t="s">
        <v>0</v>
      </c>
      <c r="I13" s="3"/>
      <c r="J13" s="3"/>
      <c r="R13" s="1" t="s">
        <v>17</v>
      </c>
      <c r="S13" t="s">
        <v>0</v>
      </c>
      <c r="AE13" t="s">
        <v>28</v>
      </c>
      <c r="AF13" s="2">
        <v>889</v>
      </c>
      <c r="AH13" t="str">
        <f t="shared" si="0"/>
        <v>Thu</v>
      </c>
      <c r="AI13">
        <f t="shared" si="0"/>
        <v>889</v>
      </c>
      <c r="AJ13">
        <f t="shared" si="2"/>
        <v>941</v>
      </c>
      <c r="AK13" t="str">
        <f t="shared" si="3"/>
        <v/>
      </c>
    </row>
    <row r="14" spans="4:60" x14ac:dyDescent="0.35">
      <c r="D14" t="s">
        <v>3</v>
      </c>
      <c r="E14" s="2">
        <v>1322</v>
      </c>
      <c r="I14" s="3"/>
      <c r="J14" s="3"/>
      <c r="R14">
        <v>2023</v>
      </c>
      <c r="S14" s="2">
        <v>5654</v>
      </c>
      <c r="AE14" t="s">
        <v>24</v>
      </c>
      <c r="AF14" s="2">
        <v>762</v>
      </c>
      <c r="AH14" t="str">
        <f t="shared" si="0"/>
        <v>Fri</v>
      </c>
      <c r="AI14">
        <f t="shared" si="0"/>
        <v>762</v>
      </c>
      <c r="AJ14">
        <f t="shared" si="2"/>
        <v>941</v>
      </c>
      <c r="AK14" t="str">
        <f t="shared" si="3"/>
        <v/>
      </c>
      <c r="AZ14" s="8" t="str">
        <f>AZ7</f>
        <v>Bus Utilization Category</v>
      </c>
      <c r="BA14" s="8" t="s">
        <v>42</v>
      </c>
      <c r="BB14" s="8" t="s">
        <v>43</v>
      </c>
    </row>
    <row r="15" spans="4:60" x14ac:dyDescent="0.35">
      <c r="I15" s="3" t="s">
        <v>14</v>
      </c>
      <c r="J15" s="3"/>
      <c r="L15" s="3" t="s">
        <v>16</v>
      </c>
      <c r="M15" s="3"/>
      <c r="R15">
        <v>2024</v>
      </c>
      <c r="S15" s="2">
        <v>933</v>
      </c>
      <c r="AE15" t="s">
        <v>26</v>
      </c>
      <c r="AF15" s="2">
        <v>796</v>
      </c>
      <c r="AH15" t="str">
        <f t="shared" si="0"/>
        <v>Sat</v>
      </c>
      <c r="AI15">
        <f t="shared" si="0"/>
        <v>796</v>
      </c>
      <c r="AJ15">
        <f t="shared" si="2"/>
        <v>941</v>
      </c>
      <c r="AK15" t="str">
        <f t="shared" si="3"/>
        <v/>
      </c>
      <c r="AZ15" t="str">
        <f t="shared" ref="AZ15:AZ17" si="4">AZ8</f>
        <v>Over-Utilized</v>
      </c>
      <c r="BA15" s="10">
        <f>BA8 / SUM($BA$8:$BA$10)</f>
        <v>0.42857142857142855</v>
      </c>
      <c r="BB15" s="10">
        <f>1-BA15</f>
        <v>0.5714285714285714</v>
      </c>
    </row>
    <row r="16" spans="4:60" x14ac:dyDescent="0.35">
      <c r="I16" s="1" t="s">
        <v>15</v>
      </c>
      <c r="J16" t="s">
        <v>0</v>
      </c>
      <c r="L16" s="1" t="s">
        <v>15</v>
      </c>
      <c r="M16" t="s">
        <v>0</v>
      </c>
      <c r="X16" t="s">
        <v>21</v>
      </c>
      <c r="Y16" t="s">
        <v>20</v>
      </c>
      <c r="AZ16" t="str">
        <f t="shared" si="4"/>
        <v>Under-Utilized</v>
      </c>
      <c r="BA16" s="10">
        <f t="shared" ref="BA16:BA17" si="5">BA9 / SUM($BA$8:$BA$10)</f>
        <v>0.22619047619047619</v>
      </c>
      <c r="BB16" s="10">
        <f t="shared" ref="BB16:BB17" si="6">1-BA16</f>
        <v>0.77380952380952384</v>
      </c>
    </row>
    <row r="17" spans="4:54" x14ac:dyDescent="0.35">
      <c r="I17" s="6">
        <v>0.48680555555555555</v>
      </c>
      <c r="J17" s="2">
        <v>108</v>
      </c>
      <c r="L17" s="6">
        <v>0.52361111111111114</v>
      </c>
      <c r="M17" s="2">
        <v>15</v>
      </c>
      <c r="AZ17" t="str">
        <f t="shared" si="4"/>
        <v>Well-Utilized</v>
      </c>
      <c r="BA17" s="10">
        <f t="shared" si="5"/>
        <v>0.34523809523809523</v>
      </c>
      <c r="BB17" s="10">
        <f t="shared" si="6"/>
        <v>0.65476190476190477</v>
      </c>
    </row>
    <row r="18" spans="4:54" x14ac:dyDescent="0.35">
      <c r="D18" t="s">
        <v>6</v>
      </c>
      <c r="S18" t="s">
        <v>18</v>
      </c>
      <c r="T18" t="s">
        <v>19</v>
      </c>
      <c r="V18" t="s">
        <v>22</v>
      </c>
    </row>
    <row r="19" spans="4:54" x14ac:dyDescent="0.35">
      <c r="D19" s="1" t="s">
        <v>2</v>
      </c>
      <c r="E19" t="s">
        <v>0</v>
      </c>
      <c r="S19" s="7">
        <f>(GETPIVOTDATA("[Measures].[Total Riders(Passengers)]",$R$13,"[Dim_DateTable].[Year]","[Dim_DateTable].[Year].&amp;[2024]") - GETPIVOTDATA("[Measures].[Total Riders(Passengers)]",$R$13,"[Dim_DateTable].[Year]","[Dim_DateTable].[Year].&amp;[2023]")) / GETPIVOTDATA("[Measures].[Total Riders(Passengers)]",$R$8,"[Dim_DateTable].[Year]","[Dim_DateTable].[Year].&amp;[2023]")</f>
        <v>-0.83498408206579411</v>
      </c>
      <c r="T19" t="str">
        <f>IF(S19 &lt; 0, Y16,X16)</f>
        <v>▼</v>
      </c>
      <c r="V19" t="str">
        <f>IF(S19&lt;0, "YOY change sugests room for improvement", "We are doing well on the current Year")</f>
        <v>YOY change sugests room for improvement</v>
      </c>
    </row>
    <row r="20" spans="4:54" x14ac:dyDescent="0.35">
      <c r="D20" t="s">
        <v>4</v>
      </c>
      <c r="E20" s="2">
        <v>185</v>
      </c>
    </row>
    <row r="21" spans="4:54" x14ac:dyDescent="0.35">
      <c r="AH21" s="8" t="s">
        <v>22</v>
      </c>
    </row>
    <row r="22" spans="4:54" x14ac:dyDescent="0.35">
      <c r="AH22" t="str">
        <f>"Focus on Highlited Weakdays: they exceeded the "&amp;AJ9&amp;" Passengers average and account for "&amp;TEXT(AH25,"0.0%")&amp;" of the Total Passengers"</f>
        <v>Focus on Highlited Weakdays: they exceeded the 941 Passengers average and account for 49.4% of the Total Passengers</v>
      </c>
    </row>
    <row r="24" spans="4:54" x14ac:dyDescent="0.35">
      <c r="AH24" s="8" t="s">
        <v>33</v>
      </c>
    </row>
    <row r="25" spans="4:54" x14ac:dyDescent="0.35">
      <c r="AH25" s="7">
        <f>SUM(AK9:AK15) / SUM(AI9:AI15)</f>
        <v>0.4938515257325034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2EFCD-8F3D-47C7-8BF6-4F748840DD50}">
  <dimension ref="A1"/>
  <sheetViews>
    <sheetView showGridLines="0" showRowColHeaders="0" tabSelected="1" topLeftCell="A2" zoomScale="110" zoomScaleNormal="110" workbookViewId="0">
      <selection activeCell="V22" sqref="V22"/>
    </sheetView>
  </sheetViews>
  <sheetFormatPr defaultRowHeight="14.5" x14ac:dyDescent="0.35"/>
  <cols>
    <col min="1" max="16384" width="8.7265625" style="5"/>
  </cols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_rels/item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.xml"/></Relationships>
</file>

<file path=customXml/_rels/item3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2.xml"/></Relationships>
</file>

<file path=customXml/_rels/item3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3.xml"/></Relationships>
</file>

<file path=customXml/_rels/item3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4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30.xml>��
</file>

<file path=customXml/item31.xml>��
</file>

<file path=customXml/item32.xml>��
</file>

<file path=customXml/item33.xml>��
</file>

<file path=customXml/item34.xml>��
</file>

<file path=customXml/itemProps1.xml><?xml version="1.0" encoding="utf-8"?>
<ds:datastoreItem xmlns:ds="http://schemas.openxmlformats.org/officeDocument/2006/customXml" ds:itemID="{ABCB497F-8F20-4612-BCE7-6917D29BABC6}">
  <ds:schemaRefs/>
</ds:datastoreItem>
</file>

<file path=customXml/itemProps2.xml><?xml version="1.0" encoding="utf-8"?>
<ds:datastoreItem xmlns:ds="http://schemas.openxmlformats.org/officeDocument/2006/customXml" ds:itemID="{1802D382-A0D1-4B51-9A43-7513CFE4F8F5}">
  <ds:schemaRefs/>
</ds:datastoreItem>
</file>

<file path=customXml/itemProps3.xml><?xml version="1.0" encoding="utf-8"?>
<ds:datastoreItem xmlns:ds="http://schemas.openxmlformats.org/officeDocument/2006/customXml" ds:itemID="{BF1533C2-F576-455E-87D7-12C6EDE6D53C}">
  <ds:schemaRefs/>
</ds:datastoreItem>
</file>

<file path=customXml/itemProps4.xml><?xml version="1.0" encoding="utf-8"?>
<ds:datastoreItem xmlns:ds="http://schemas.openxmlformats.org/officeDocument/2006/customXml" ds:itemID="{FA5D9629-A3BD-43DD-A70E-33CD393B1B6E}">
  <ds:schemaRefs/>
</ds:datastoreItem>
</file>

<file path=customXml/itemProps5.xml><?xml version="1.0" encoding="utf-8"?>
<ds:datastoreItem xmlns:ds="http://schemas.openxmlformats.org/officeDocument/2006/customXml" ds:itemID="{81C339AB-62E5-45E3-A928-F2D84CB6A155}">
  <ds:schemaRefs/>
</ds:datastoreItem>
</file>

<file path=customXml/itemProps6.xml><?xml version="1.0" encoding="utf-8"?>
<ds:datastoreItem xmlns:ds="http://schemas.openxmlformats.org/officeDocument/2006/customXml" ds:itemID="{67EBACFB-C8A7-40B2-ACBD-C2282BA8D140}">
  <ds:schemaRefs/>
</ds:datastoreItem>
</file>

<file path=customXml/itemProps7.xml><?xml version="1.0" encoding="utf-8"?>
<ds:datastoreItem xmlns:ds="http://schemas.openxmlformats.org/officeDocument/2006/customXml" ds:itemID="{9759E84E-2C38-4DFB-96C3-FFFF9A10F136}">
  <ds:schemaRefs/>
</ds:datastoreItem>
</file>

<file path=customXml/itemProps8.xml><?xml version="1.0" encoding="utf-8"?>
<ds:datastoreItem xmlns:ds="http://schemas.openxmlformats.org/officeDocument/2006/customXml" ds:itemID="{1D852EF7-5459-4C59-976E-41F950804ED6}">
  <ds:schemaRefs/>
</ds:datastoreItem>
</file>

<file path=customXml/itemProps9.xml><?xml version="1.0" encoding="utf-8"?>
<ds:datastoreItem xmlns:ds="http://schemas.openxmlformats.org/officeDocument/2006/customXml" ds:itemID="{B70EC5E9-A5F3-4CAA-AB8D-B43571ECC8ED}">
  <ds:schemaRefs/>
</ds:datastoreItem>
</file>

<file path=customXml/itemProps10.xml><?xml version="1.0" encoding="utf-8"?>
<ds:datastoreItem xmlns:ds="http://schemas.openxmlformats.org/officeDocument/2006/customXml" ds:itemID="{8927D876-0269-480D-8A9E-BB962CAF3FB1}">
  <ds:schemaRefs/>
</ds:datastoreItem>
</file>

<file path=customXml/itemProps11.xml><?xml version="1.0" encoding="utf-8"?>
<ds:datastoreItem xmlns:ds="http://schemas.openxmlformats.org/officeDocument/2006/customXml" ds:itemID="{26166E40-9F08-413D-902A-9389E9CA90C8}">
  <ds:schemaRefs/>
</ds:datastoreItem>
</file>

<file path=customXml/itemProps12.xml><?xml version="1.0" encoding="utf-8"?>
<ds:datastoreItem xmlns:ds="http://schemas.openxmlformats.org/officeDocument/2006/customXml" ds:itemID="{C6298245-A938-469E-91BE-E3DD82209A5F}">
  <ds:schemaRefs/>
</ds:datastoreItem>
</file>

<file path=customXml/itemProps13.xml><?xml version="1.0" encoding="utf-8"?>
<ds:datastoreItem xmlns:ds="http://schemas.openxmlformats.org/officeDocument/2006/customXml" ds:itemID="{A9CD33EC-18B3-4953-9B06-CA9C9BC836D7}">
  <ds:schemaRefs/>
</ds:datastoreItem>
</file>

<file path=customXml/itemProps14.xml><?xml version="1.0" encoding="utf-8"?>
<ds:datastoreItem xmlns:ds="http://schemas.openxmlformats.org/officeDocument/2006/customXml" ds:itemID="{F3CF4324-C3D5-4240-9B52-5D3D939ADA99}">
  <ds:schemaRefs/>
</ds:datastoreItem>
</file>

<file path=customXml/itemProps15.xml><?xml version="1.0" encoding="utf-8"?>
<ds:datastoreItem xmlns:ds="http://schemas.openxmlformats.org/officeDocument/2006/customXml" ds:itemID="{C9AB71CB-8F13-412C-A35C-8478048FBEA7}">
  <ds:schemaRefs/>
</ds:datastoreItem>
</file>

<file path=customXml/itemProps16.xml><?xml version="1.0" encoding="utf-8"?>
<ds:datastoreItem xmlns:ds="http://schemas.openxmlformats.org/officeDocument/2006/customXml" ds:itemID="{CC94049E-0882-4FF6-9681-680F78952C5D}">
  <ds:schemaRefs>
    <ds:schemaRef ds:uri="http://schemas.microsoft.com/DataMashup"/>
  </ds:schemaRefs>
</ds:datastoreItem>
</file>

<file path=customXml/itemProps17.xml><?xml version="1.0" encoding="utf-8"?>
<ds:datastoreItem xmlns:ds="http://schemas.openxmlformats.org/officeDocument/2006/customXml" ds:itemID="{D5050066-49E4-4022-80A6-C0719882CD4E}">
  <ds:schemaRefs/>
</ds:datastoreItem>
</file>

<file path=customXml/itemProps18.xml><?xml version="1.0" encoding="utf-8"?>
<ds:datastoreItem xmlns:ds="http://schemas.openxmlformats.org/officeDocument/2006/customXml" ds:itemID="{ECEDC410-5FED-4A9B-A6B4-145913998B47}">
  <ds:schemaRefs/>
</ds:datastoreItem>
</file>

<file path=customXml/itemProps19.xml><?xml version="1.0" encoding="utf-8"?>
<ds:datastoreItem xmlns:ds="http://schemas.openxmlformats.org/officeDocument/2006/customXml" ds:itemID="{E74AF28E-F602-4557-9AB2-05EC26DED5EA}">
  <ds:schemaRefs/>
</ds:datastoreItem>
</file>

<file path=customXml/itemProps20.xml><?xml version="1.0" encoding="utf-8"?>
<ds:datastoreItem xmlns:ds="http://schemas.openxmlformats.org/officeDocument/2006/customXml" ds:itemID="{3431FBD6-3503-42B3-A0FB-4A0F6D3D2003}">
  <ds:schemaRefs/>
</ds:datastoreItem>
</file>

<file path=customXml/itemProps21.xml><?xml version="1.0" encoding="utf-8"?>
<ds:datastoreItem xmlns:ds="http://schemas.openxmlformats.org/officeDocument/2006/customXml" ds:itemID="{7FD66713-2078-4557-AA37-3A8FE1192D3C}">
  <ds:schemaRefs/>
</ds:datastoreItem>
</file>

<file path=customXml/itemProps22.xml><?xml version="1.0" encoding="utf-8"?>
<ds:datastoreItem xmlns:ds="http://schemas.openxmlformats.org/officeDocument/2006/customXml" ds:itemID="{26A16D0E-244D-4459-9DCA-07DB43575EBF}">
  <ds:schemaRefs/>
</ds:datastoreItem>
</file>

<file path=customXml/itemProps23.xml><?xml version="1.0" encoding="utf-8"?>
<ds:datastoreItem xmlns:ds="http://schemas.openxmlformats.org/officeDocument/2006/customXml" ds:itemID="{14AD0BE7-4548-4488-B8B6-C2E552125198}">
  <ds:schemaRefs/>
</ds:datastoreItem>
</file>

<file path=customXml/itemProps24.xml><?xml version="1.0" encoding="utf-8"?>
<ds:datastoreItem xmlns:ds="http://schemas.openxmlformats.org/officeDocument/2006/customXml" ds:itemID="{1DDE0FC5-3C49-49E8-9779-DF7F8480BAD1}">
  <ds:schemaRefs/>
</ds:datastoreItem>
</file>

<file path=customXml/itemProps25.xml><?xml version="1.0" encoding="utf-8"?>
<ds:datastoreItem xmlns:ds="http://schemas.openxmlformats.org/officeDocument/2006/customXml" ds:itemID="{F6FAB3C1-DD26-411D-A485-C14C2D1A9E42}">
  <ds:schemaRefs/>
</ds:datastoreItem>
</file>

<file path=customXml/itemProps26.xml><?xml version="1.0" encoding="utf-8"?>
<ds:datastoreItem xmlns:ds="http://schemas.openxmlformats.org/officeDocument/2006/customXml" ds:itemID="{72A9D39A-3570-416A-AD88-0A37FA2412B0}">
  <ds:schemaRefs/>
</ds:datastoreItem>
</file>

<file path=customXml/itemProps27.xml><?xml version="1.0" encoding="utf-8"?>
<ds:datastoreItem xmlns:ds="http://schemas.openxmlformats.org/officeDocument/2006/customXml" ds:itemID="{C3041E2A-196A-4147-9EAE-C4E45CD710B0}">
  <ds:schemaRefs/>
</ds:datastoreItem>
</file>

<file path=customXml/itemProps28.xml><?xml version="1.0" encoding="utf-8"?>
<ds:datastoreItem xmlns:ds="http://schemas.openxmlformats.org/officeDocument/2006/customXml" ds:itemID="{1BE77505-8A5A-4362-ABCB-FC8F3DAB4A1D}">
  <ds:schemaRefs/>
</ds:datastoreItem>
</file>

<file path=customXml/itemProps29.xml><?xml version="1.0" encoding="utf-8"?>
<ds:datastoreItem xmlns:ds="http://schemas.openxmlformats.org/officeDocument/2006/customXml" ds:itemID="{0088A4CB-7BDF-4980-969D-BA1D2C79DA54}">
  <ds:schemaRefs/>
</ds:datastoreItem>
</file>

<file path=customXml/itemProps30.xml><?xml version="1.0" encoding="utf-8"?>
<ds:datastoreItem xmlns:ds="http://schemas.openxmlformats.org/officeDocument/2006/customXml" ds:itemID="{5C4081FC-E738-4711-9B7F-A354F3AA4616}">
  <ds:schemaRefs/>
</ds:datastoreItem>
</file>

<file path=customXml/itemProps31.xml><?xml version="1.0" encoding="utf-8"?>
<ds:datastoreItem xmlns:ds="http://schemas.openxmlformats.org/officeDocument/2006/customXml" ds:itemID="{FAF1449E-EDFE-4DCB-A340-A063FA225567}">
  <ds:schemaRefs/>
</ds:datastoreItem>
</file>

<file path=customXml/itemProps32.xml><?xml version="1.0" encoding="utf-8"?>
<ds:datastoreItem xmlns:ds="http://schemas.openxmlformats.org/officeDocument/2006/customXml" ds:itemID="{83950778-3BDA-4693-8F7A-377DE5E350CC}">
  <ds:schemaRefs/>
</ds:datastoreItem>
</file>

<file path=customXml/itemProps33.xml><?xml version="1.0" encoding="utf-8"?>
<ds:datastoreItem xmlns:ds="http://schemas.openxmlformats.org/officeDocument/2006/customXml" ds:itemID="{D139875C-C232-4074-910D-2BFBDF5D5D3F}">
  <ds:schemaRefs/>
</ds:datastoreItem>
</file>

<file path=customXml/itemProps34.xml><?xml version="1.0" encoding="utf-8"?>
<ds:datastoreItem xmlns:ds="http://schemas.openxmlformats.org/officeDocument/2006/customXml" ds:itemID="{1136D7A9-7656-494E-B47C-FE3F13DCC2B5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Analysis 1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2025-11-07T04:39:48Z</dcterms:created>
  <dcterms:modified xsi:type="dcterms:W3CDTF">2025-11-25T18:13:44Z</dcterms:modified>
</cp:coreProperties>
</file>